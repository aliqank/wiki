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updateLinks="never" defaultThemeVersion="124226"/>
  <xr:revisionPtr revIDLastSave="186" documentId="8_{B0B7886D-211D-43FF-AB7B-FB062C4384DB}" xr6:coauthVersionLast="47" xr6:coauthVersionMax="47" xr10:uidLastSave="{DA499D9F-D4B7-4423-A4A2-19654D52B5F4}"/>
  <bookViews>
    <workbookView xWindow="57480" yWindow="-120" windowWidth="38640" windowHeight="21120" activeTab="3" xr2:uid="{00000000-000D-0000-FFFF-FFFF00000000}"/>
  </bookViews>
  <sheets>
    <sheet name="Sensor" sheetId="3" r:id="rId1"/>
    <sheet name="orig tmplt" sheetId="1" state="hidden" r:id="rId2"/>
    <sheet name="Data Security" sheetId="4" r:id="rId3"/>
    <sheet name="Arch Diagram" sheetId="5" r:id="rId4"/>
  </sheets>
  <externalReferences>
    <externalReference r:id="rId5"/>
  </externalReferences>
  <definedNames>
    <definedName name="_Toc330217645" localSheetId="1">'orig tmplt'!$C$4</definedName>
    <definedName name="_Toc330217645" localSheetId="0">Sensor!$C$6</definedName>
    <definedName name="_Toc397530913" localSheetId="1">'orig tmplt'!$C$11</definedName>
    <definedName name="_Toc397530913" localSheetId="0">Sensor!$C$13</definedName>
    <definedName name="_xlnm.Print_Area" localSheetId="1">'orig tmplt'!$A$1:$G$199</definedName>
    <definedName name="_xlnm.Print_Area" localSheetId="0">Sensor!$A$4:$G$174</definedName>
    <definedName name="Score">[1]List!$A$1:$A$4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 l="1"/>
  <c r="I4" i="4"/>
  <c r="I5" i="4"/>
  <c r="I6" i="4"/>
  <c r="I7" i="4"/>
  <c r="I8" i="4"/>
  <c r="I9" i="4"/>
  <c r="I10" i="4"/>
  <c r="I11" i="4"/>
  <c r="I12" i="4"/>
  <c r="I13" i="4"/>
  <c r="I14" i="4"/>
  <c r="I15" i="4"/>
  <c r="I16" i="4"/>
  <c r="I17" i="4"/>
  <c r="I18" i="4"/>
  <c r="I19" i="4"/>
  <c r="I20" i="4"/>
  <c r="I21" i="4"/>
  <c r="I22" i="4"/>
  <c r="I23" i="4"/>
</calcChain>
</file>

<file path=xl/sharedStrings.xml><?xml version="1.0" encoding="utf-8"?>
<sst xmlns="http://schemas.openxmlformats.org/spreadsheetml/2006/main" count="807" uniqueCount="414">
  <si>
    <t>Vendor:</t>
  </si>
  <si>
    <t>Model / Version</t>
  </si>
  <si>
    <t>Eval Location</t>
  </si>
  <si>
    <t>Eval Date</t>
  </si>
  <si>
    <t>●</t>
  </si>
  <si>
    <t>Good:  meets or exceeds requirement and expectation.</t>
  </si>
  <si>
    <t>◒</t>
  </si>
  <si>
    <t>Gap: meets basic requirements but performance or function is below expectation.</t>
  </si>
  <si>
    <t>○</t>
  </si>
  <si>
    <t>Poor: does not meet basic requirement or expectation.</t>
  </si>
  <si>
    <t>Results</t>
  </si>
  <si>
    <t>Comments</t>
  </si>
  <si>
    <t>Comments 2</t>
  </si>
  <si>
    <t xml:space="preserve">STATUS
</t>
  </si>
  <si>
    <t>PRODUCT MATURITY</t>
  </si>
  <si>
    <t>Is the product commercially available?</t>
  </si>
  <si>
    <t xml:space="preserve">How long has it been on the market? ● &gt;2 years </t>
  </si>
  <si>
    <t>How many deployments are in any industry?</t>
  </si>
  <si>
    <t xml:space="preserve">    a.   What was the total number of sensors?</t>
  </si>
  <si>
    <t>How many systems have been deployed in the Oil and Gas industry?</t>
  </si>
  <si>
    <t xml:space="preserve">    a.  What is the total number of sensors?</t>
  </si>
  <si>
    <t>Is the build quality of the sensor suited for industrial environments?</t>
  </si>
  <si>
    <t xml:space="preserve">    a.  If not, provide a short description of potential issues/needed improvements.</t>
  </si>
  <si>
    <t>How stable is the sensor hardware?</t>
  </si>
  <si>
    <t>How stable is the sensor firmware?</t>
  </si>
  <si>
    <t>a.   How does vendor update firmware?</t>
  </si>
  <si>
    <t>b.  How much control does Chevron have over the firmware update process?</t>
  </si>
  <si>
    <t>How stable is the web dashboard?</t>
  </si>
  <si>
    <t>Certifications</t>
  </si>
  <si>
    <t>Does the sensor carry the following hazardous area certifications? List the certifications for each.</t>
  </si>
  <si>
    <t xml:space="preserve">  a.  NEC</t>
  </si>
  <si>
    <t xml:space="preserve">  b.  CEC</t>
  </si>
  <si>
    <t xml:space="preserve">  c.   ATEX</t>
  </si>
  <si>
    <t xml:space="preserve">  d.   IECEx</t>
  </si>
  <si>
    <t>Does the sensor have RF approval in the intended regulatory domain?</t>
  </si>
  <si>
    <t>a.       FCC</t>
  </si>
  <si>
    <t>b.      ETSI</t>
  </si>
  <si>
    <t>c.       TELEC</t>
  </si>
  <si>
    <t>d.      KCC</t>
  </si>
  <si>
    <t>e.       Others?</t>
  </si>
  <si>
    <t>Measurement Quality</t>
  </si>
  <si>
    <t>What is the frequency range for the sensor?</t>
  </si>
  <si>
    <t>Is the sensor MEMS based?</t>
  </si>
  <si>
    <t>Is the sensor Piezoelectric?</t>
  </si>
  <si>
    <t>Is the device capable of reporting an overall measurement?</t>
  </si>
  <si>
    <t xml:space="preserve">What is the maximum update rate of the sensor? (See battery life and communication reliability sections) </t>
  </si>
  <si>
    <t>Lab Measurement Test Procedure (Briefly describe the procedure in few words)</t>
  </si>
  <si>
    <t>Results of the Lab Testing</t>
  </si>
  <si>
    <t>Field / Pilot Measurement Tests (Briefly describe the procedure in few words)</t>
  </si>
  <si>
    <t>Field Test findings.</t>
  </si>
  <si>
    <t>What is the estimated battery life for the sensor at the following update intervals?</t>
  </si>
  <si>
    <t>Once per day</t>
  </si>
  <si>
    <t>Twice per day</t>
  </si>
  <si>
    <t>Four times a day</t>
  </si>
  <si>
    <t>Six times a day</t>
  </si>
  <si>
    <t>Hourly</t>
  </si>
  <si>
    <t>Communication Protocol</t>
  </si>
  <si>
    <t>Is the communication protocol an open industry standard?</t>
  </si>
  <si>
    <t>Record the communication protocol used by the sensor and answer the following:</t>
  </si>
  <si>
    <t>a. Mesh supported?</t>
  </si>
  <si>
    <t>b. Point to point?</t>
  </si>
  <si>
    <t>c. Frequency band?</t>
  </si>
  <si>
    <t>Can the sensors be directly connected to existing chevron infrastructure?</t>
  </si>
  <si>
    <t>Vizualization and Data Analytics</t>
  </si>
  <si>
    <t>What is the primary user interface to visualize data from the sensor?</t>
  </si>
  <si>
    <t>Does the visualization package support machine learning for analytics?</t>
  </si>
  <si>
    <t>Does the visualization package support alerting?</t>
  </si>
  <si>
    <t>Are the alerts configurable by the user?</t>
  </si>
  <si>
    <t>Does the vendor solution support mobile applications?</t>
  </si>
  <si>
    <t>Is the system provided as a service or stand-alone system?</t>
  </si>
  <si>
    <t>If the system is provided as a service can it be installed and run in the Chevron Azure private cloud?</t>
  </si>
  <si>
    <t>Is the update rate configurable through the user interface?</t>
  </si>
  <si>
    <t>Can the end user add new sensors to the interface?</t>
  </si>
  <si>
    <t>Data Integration with Chevron Systems</t>
  </si>
  <si>
    <t>Does the application have a standard interface to enable collection of data by enterprise systems?</t>
  </si>
  <si>
    <t>a. OSI PI (document solution)</t>
  </si>
  <si>
    <t>b. Azure IOT Hub (document solution)</t>
  </si>
  <si>
    <t>c. Other interfaces? (document solution)</t>
  </si>
  <si>
    <t>Scalability of Technology Solution</t>
  </si>
  <si>
    <t>Can the technology scale from 10s to 1000s of sensors from the following areas:</t>
  </si>
  <si>
    <t>a. Device Management : Can the sensor be configures using CVX Azure IoT Hub</t>
  </si>
  <si>
    <t>b. Device Management: Can the sensor be configures using Thurd Party Cloud</t>
  </si>
  <si>
    <t>c. Licensing</t>
  </si>
  <si>
    <t>d. Vendor Support</t>
  </si>
  <si>
    <t>Compliance with Chevron Standards</t>
  </si>
  <si>
    <t>Does the architecture follow CES reference architecture diagrams for ODA ?</t>
  </si>
  <si>
    <t>a. If yes, which ODA Pattern is followed ? (ODA 1 or 2)</t>
  </si>
  <si>
    <t xml:space="preserve">b. If no, describe the architecture in detail and provide diagram in additional tab </t>
  </si>
  <si>
    <t>Has a cybersecurity technology assessment been carried out on the solution? (Refer to tab Data Security)</t>
  </si>
  <si>
    <t>Cost</t>
  </si>
  <si>
    <t>Gather the following information to estimate lifetime cost of sensor.</t>
  </si>
  <si>
    <t>a. Initial purchase price of sensor (without discounts)</t>
  </si>
  <si>
    <t>b. Cost of service per sensor on an annual basis. (Example any licensing or SAS fee from the vendor)</t>
  </si>
  <si>
    <t>Note: This should be based on a 100-sensor purchase.</t>
  </si>
  <si>
    <t xml:space="preserve">c. Estimated cost of battery. </t>
  </si>
  <si>
    <t>d. Estimated labor costs to replace battery.</t>
  </si>
  <si>
    <t>What is the estimated cost per sensor for 5yrs?</t>
  </si>
  <si>
    <t>What is the estimated cost per sensor for 10yrs?</t>
  </si>
  <si>
    <t>Environmental</t>
  </si>
  <si>
    <t>Does the sensor carry IP ratings for outdoor deployment?</t>
  </si>
  <si>
    <t>If yes, please document.</t>
  </si>
  <si>
    <t>Is the sensor rated with a maximum temperature of at least 85C?</t>
  </si>
  <si>
    <t>Document the maximum temperature.</t>
  </si>
  <si>
    <t>Is the sensor constructed of a metal housing?</t>
  </si>
  <si>
    <t>Stainless steel?</t>
  </si>
  <si>
    <t>Is the sensor constructed with a polymer housing?</t>
  </si>
  <si>
    <t>Document any housing ratings.</t>
  </si>
  <si>
    <t>Maintainibility</t>
  </si>
  <si>
    <t>Can the battery be replaced in the sensor?</t>
  </si>
  <si>
    <t>Does the sensor use an off the shelf battery, commercially available battery?</t>
  </si>
  <si>
    <t xml:space="preserve"> List acceptable battery models here. </t>
  </si>
  <si>
    <t>Can the battery be replaced in a hazardous area without a hot work permit?</t>
  </si>
  <si>
    <t>Gather vendor battery replacement procedure for the sensor.</t>
  </si>
  <si>
    <t>Are special tools required to change the battery?</t>
  </si>
  <si>
    <t>List tools needed.</t>
  </si>
  <si>
    <t>Is a special procedure required to change the battery?</t>
  </si>
  <si>
    <t>Can the sensor be configured with a handheld device?</t>
  </si>
  <si>
    <t>Can the sensor be configured with a webApp?</t>
  </si>
  <si>
    <t>Sensor Replacement Process</t>
  </si>
  <si>
    <t>How difficult is it to replace sensors using:</t>
  </si>
  <si>
    <t>a. Vendor web dashboard</t>
  </si>
  <si>
    <t>b. Vendor smartphone app</t>
  </si>
  <si>
    <t>c. Gateway</t>
  </si>
  <si>
    <t>d. Other</t>
  </si>
  <si>
    <t>Installation Requirements</t>
  </si>
  <si>
    <t>Document the mounting options for the sensors.</t>
  </si>
  <si>
    <t>Is there any special surface prep required by the vendor for installation?</t>
  </si>
  <si>
    <t>Note:</t>
  </si>
  <si>
    <t>Reference IIoT Vibration Monitoring High Level Test Plan document for additional details.</t>
  </si>
  <si>
    <t>Test</t>
  </si>
  <si>
    <t>Demonstration of Process Data Connection (level 2)</t>
  </si>
  <si>
    <t>Open 1420 Gateway interface and verify that process sensors are joined and communicating.</t>
  </si>
  <si>
    <t>From the Yokogawa HIS verify that WiHART sensor data is available.  (Rap Port 2 data)</t>
  </si>
  <si>
    <t>From the gateway browser interface on the AMS server verify that WiHART sensor data is available. (RAP Port 1 data)</t>
  </si>
  <si>
    <t>Disconnect Port 2 from the RAP</t>
  </si>
  <si>
    <t>Verify that WiHART sensor data is no longer available on the Yokogawa HIS but is still available from the gateway browser interface.</t>
  </si>
  <si>
    <t>Data was only available for devices/services connected to RAP Port 1.</t>
  </si>
  <si>
    <t>Reconnect Port 2 to the RAP</t>
  </si>
  <si>
    <t>Verify that WiHART sensor data is available from both the Yokogawa HIS and the AMS server.</t>
  </si>
  <si>
    <t>Repeat test by disconnecting Port 2 at the MAP and verify results.</t>
  </si>
  <si>
    <t>Results were the same.</t>
  </si>
  <si>
    <t>Disconnect Data Port 1 (Gateway to WLC) from the MAP</t>
  </si>
  <si>
    <t>Verify that WiHART sensor data is still available in the Yokogawa HIS</t>
  </si>
  <si>
    <t>Verify that WiHART sensor data is no longer available from the AMS server</t>
  </si>
  <si>
    <t>Reconnect Port 1 (WLC) to the MAP</t>
  </si>
  <si>
    <t>Verify that WiHART sensor data is now available in AMS.</t>
  </si>
  <si>
    <t>Verify that WiHART sensor data is still available in the DCS.</t>
  </si>
  <si>
    <t>Disconnect Data Port 1 (WLC) from the RAP</t>
  </si>
  <si>
    <t>When the RAP loses connection with the wireless LAN controller the mesh network is dropped after 2-5 mintes.  This causes data port 2 to the DCS to stop tranmitting data.</t>
  </si>
  <si>
    <r>
      <rPr>
        <b/>
        <sz val="11"/>
        <color theme="1"/>
        <rFont val="Calibri"/>
        <family val="2"/>
        <scheme val="minor"/>
      </rPr>
      <t>STATUS:</t>
    </r>
    <r>
      <rPr>
        <sz val="11"/>
        <color theme="1"/>
        <rFont val="Calibri"/>
        <family val="2"/>
        <scheme val="minor"/>
      </rPr>
      <t xml:space="preserve">
We contacted Cisco about the issue on Monday and their wireless sales engineer (Tim Dormer) was able to duplicate the issue in his lab.  A TAC case was opened with their support organization and we met with Cisco on Thursday morning and described the issue to their TAC engineer.  The TAC engineer with also try to duplicate the issue and if he sees the same results the issue will be elevated to the developers of the product for resolution.  We should have some feedback from Cisco by 09/29/2014.
</t>
    </r>
    <r>
      <rPr>
        <b/>
        <sz val="11"/>
        <color theme="1"/>
        <rFont val="Calibri"/>
        <family val="2"/>
        <scheme val="minor"/>
      </rPr>
      <t>09/29/2014  update</t>
    </r>
    <r>
      <rPr>
        <sz val="11"/>
        <color theme="1"/>
        <rFont val="Calibri"/>
        <family val="2"/>
        <scheme val="minor"/>
      </rPr>
      <t xml:space="preserve"> - Cisco TAC has recreated the issue and has escalated this to their world-wide (WW) backbone.  The Cisco WW team will be engaging the Wireless Network Business Unit (WNBU) to determine the root cause and a path forward.  Currently there is no time estimate for resolution.
</t>
    </r>
  </si>
  <si>
    <t xml:space="preserve">Reconnect Port 1 (WLC) to the RAP </t>
  </si>
  <si>
    <t>PASCAGOULA STANDARD FIREWALL CONFIGURATION</t>
  </si>
  <si>
    <t>Verify compatibility of Pascagoula standard firewall configuration with Wireless sensor network.</t>
  </si>
  <si>
    <t>Load Pascagoula standard firewall configuration into wireless test system firewall.</t>
  </si>
  <si>
    <t xml:space="preserve"> From AMS verify that sensor data can still be read.</t>
  </si>
  <si>
    <t>From the Permasense Gateway Manager Service verify that the Permasense sensor data can still be read.</t>
  </si>
  <si>
    <t>From Machinery Health Manager verify that vibration data can still be read.</t>
  </si>
  <si>
    <t>From OPC client verify that sensor data can still be read.</t>
  </si>
  <si>
    <t>From DCS control system verify that sensor data can still be read.</t>
  </si>
  <si>
    <t>WiHART Sensor Connectivity Test</t>
  </si>
  <si>
    <t>Battery Replacement</t>
  </si>
  <si>
    <t>Open 1420 Gateway interface and verify that sensor is joined and communicating.</t>
  </si>
  <si>
    <t>Open battery compartment on joined sensor and remove battery to simulate a battery failure.</t>
  </si>
  <si>
    <t>Verify sensor error in gateway browser interface.</t>
  </si>
  <si>
    <t>Verify sensor error in Wireless Snap-on utility</t>
  </si>
  <si>
    <t>Reinsert battery into sensor to power device back up.</t>
  </si>
  <si>
    <t>Verify that sensor re-joins and begins communication with gateway.</t>
  </si>
  <si>
    <t>No device or gateway configuration needed for this operation.</t>
  </si>
  <si>
    <t>Device Replacement</t>
  </si>
  <si>
    <t>Re-configure a like device with network information (network id, join key and device tag)</t>
  </si>
  <si>
    <t>There are concerns about the need to place provision instruments through the use of a whitelist in the gateway.  Options:  1. Review and revise CIRS control that requires the use of a whitelist instead of a common join key.  2. Develop a process that operations can use to whitelist devices while provisioning.  3.  File an exception that that a common join key can be used.</t>
  </si>
  <si>
    <t>Verify sensor error in gateway browser interface and PiOPC interface tool</t>
  </si>
  <si>
    <t>Re-configure a like device with network information (network id, join key and long tag)</t>
  </si>
  <si>
    <t>The new sensor joins the gateway with the given permissions but a duplicate record exists for the old device.  The OPC confguration in the gateway reports an error due to duplicate device tagnames. OPC client returns "VT_EMPTY" when mapped tags are requested. Old device must be deleted from the gateway's HART mappings. After this is done, the new device is accessible through the prior OPC mappings.  OPC tags are case sensetive.  Entering the "ONLINE" tag into the OPC browser as lower case returns an error.  With a 2 minute poll time it took 11 minutes for the gateway to show a bad value.  The data went  bad in the DCS (Ethernet) and in the RS485 link at the same time.  The gateway report an "NaN" (7FC0 0000 Hex in Modbus)  when the values go bad after a device disconnects from the network.</t>
  </si>
  <si>
    <r>
      <t xml:space="preserve">
</t>
    </r>
    <r>
      <rPr>
        <sz val="11"/>
        <color theme="1"/>
        <rFont val="Calibri"/>
        <family val="2"/>
        <scheme val="minor"/>
      </rPr>
      <t>We need to contact Emerson and raise the concerns about the predefined roles in the gateway not providing the correct access for an I&amp;E specialist to replace a sensor.  The predefined role needed for this function is "administrator" but the I&amp;E specialist does not necessarily need to be an administrator in the gateway.  The desire is to have a custom role in which functions could be selected by the gateway administrator that gives the I&amp;E specialist the minimum access needed to preplace a sensor .</t>
    </r>
  </si>
  <si>
    <t>Delete the old HART mapping from the gateway</t>
  </si>
  <si>
    <t xml:space="preserve">Verify that the sensor errors for duplicate tagnames are no longer present </t>
  </si>
  <si>
    <t>Duplicate Tag Error shows in OPC, MODBUS, HART mapping page</t>
  </si>
  <si>
    <t>AMS Connectivitiy (Level 3)</t>
  </si>
  <si>
    <t>Validate AMS communication with gateways through the WPN</t>
  </si>
  <si>
    <r>
      <rPr>
        <sz val="7"/>
        <color theme="1"/>
        <rFont val="Times New Roman"/>
        <family val="1"/>
      </rPr>
      <t xml:space="preserve"> </t>
    </r>
    <r>
      <rPr>
        <sz val="12"/>
        <color theme="1"/>
        <rFont val="Times New Roman"/>
        <family val="1"/>
      </rPr>
      <t>Upload WiHART data into the AMS server (sensors are visible in AMS for gateways with connection to VLAN 128)</t>
    </r>
  </si>
  <si>
    <t>Perform a write to the WiHART instrument</t>
  </si>
  <si>
    <t>Changed an update rate from 60s to 120s via AMS. Change was confirmed using 475 handheld</t>
  </si>
  <si>
    <t>Verify operation of the Wireless Snap-On utility</t>
  </si>
  <si>
    <r>
      <rPr>
        <sz val="7"/>
        <color theme="1"/>
        <rFont val="Times New Roman"/>
        <family val="1"/>
      </rPr>
      <t xml:space="preserve"> </t>
    </r>
    <r>
      <rPr>
        <sz val="12"/>
        <color theme="1"/>
        <rFont val="Times New Roman"/>
        <family val="1"/>
      </rPr>
      <t>Open the Emerson Wireless Snap-on Utility</t>
    </r>
  </si>
  <si>
    <t>Verify WiHART devices are present and communicating</t>
  </si>
  <si>
    <t>Observe the WiHART mesh connections between the devices</t>
  </si>
  <si>
    <t>Observe signal strength between the devices.</t>
  </si>
  <si>
    <t>Questions were raised about the capabilities of the wireless snap-on.  Additional exploration of the wireless commissioning tool is needed to compare functionality.</t>
  </si>
  <si>
    <t>Move a WiHART sensor and observe changes.</t>
  </si>
  <si>
    <t>Security Setup Utility (Level 3 &amp; 3.5)</t>
  </si>
  <si>
    <t>Verify multiple instances of security setup utility can access data from a common gateway</t>
  </si>
  <si>
    <t>Validate each instance of Security Setup utility can communicate with the gateway and that identical data is being passed to each workstation.</t>
  </si>
  <si>
    <r>
      <rPr>
        <sz val="7"/>
        <color theme="1"/>
        <rFont val="Times New Roman"/>
        <family val="1"/>
      </rPr>
      <t xml:space="preserve">  </t>
    </r>
    <r>
      <rPr>
        <sz val="12"/>
        <color theme="1"/>
        <rFont val="Times New Roman"/>
        <family val="1"/>
      </rPr>
      <t>Validate functionality of security setup utility on Level 3, 3.5 and 4 can communicate with a common gateway in Wireless Network.</t>
    </r>
  </si>
  <si>
    <t>All data was identical</t>
  </si>
  <si>
    <t>Serial Converter Test</t>
  </si>
  <si>
    <t>Validate serial converter operation in system design options</t>
  </si>
  <si>
    <t>Configure the GE serial to Ethernet converter for RS-232 communication and connect to a laptop running modscan</t>
  </si>
  <si>
    <r>
      <rPr>
        <sz val="7"/>
        <color theme="1"/>
        <rFont val="Times New Roman"/>
        <family val="1"/>
      </rPr>
      <t xml:space="preserve">  </t>
    </r>
    <r>
      <rPr>
        <sz val="12"/>
        <color theme="1"/>
        <rFont val="Times New Roman"/>
        <family val="1"/>
      </rPr>
      <t>Validate modbus registers can be read over the wireless gateway.</t>
    </r>
  </si>
  <si>
    <t>Demonstration of corrosion monitoring connection (Level 3.5)</t>
  </si>
  <si>
    <t>Validate corrosion monitoring data is accessible in the Permasense Database</t>
  </si>
  <si>
    <t>Verify Permasense WT200 sensors are joined to a gateway</t>
  </si>
  <si>
    <t>Verify that the Permasense Gateway Manger service is connected to gateway</t>
  </si>
  <si>
    <t>Verify that Permasense thickness readings are being recorded in Permasense Database</t>
  </si>
  <si>
    <t>Verify sensor trends are available in Permasense web server.</t>
  </si>
  <si>
    <t>DEMONSTRATION OF VIBRATION MONITORING CONNECTION (LEVEL 3)</t>
  </si>
  <si>
    <t>Validate vibration monitoring data is accessible through AMS and Machinery Health Manager</t>
  </si>
  <si>
    <t>Verify that CSI 9420 is joined to gateway and communicating to AMS</t>
  </si>
  <si>
    <t>Connect CSI 9420 to unbalanced motor and turn on motor.</t>
  </si>
  <si>
    <t>Verify that vibration readings are being collected from the device.</t>
  </si>
  <si>
    <t>GATEWAY / YOKOGAWA DCS INTEGRATION</t>
  </si>
  <si>
    <t>Validate integration of Wireless gateway Modbus register mapping with the Yokogawa DCS</t>
  </si>
  <si>
    <t>Map variable to Modbus Registers in Emerson wireless gateway</t>
  </si>
  <si>
    <t>Configure Yokogawa ALE-111 to read Modbus registers from Gateway</t>
  </si>
  <si>
    <t>Verify all configured 32bit integer Modbus values are displayed accurately on the Yokogawa HIS</t>
  </si>
  <si>
    <t>A Yokogawa modbus data type  of unsigned integer was used to read the 32bit integer registers defined in the Emerson gateway.</t>
  </si>
  <si>
    <t>TOFINO XENON SECURITY APPLIANCE</t>
  </si>
  <si>
    <t>Verify operation of the Tofino Xenon Security Appliance</t>
  </si>
  <si>
    <t>Verify the rules for the Modbus registers are configured in the Tofino Xenon Appliance</t>
  </si>
  <si>
    <t>From the Yokogawa HIS verify that the Modbus registers can be read from each gateway and are updating at the set polling rate.</t>
  </si>
  <si>
    <t>This test was deferred to Thursday.</t>
  </si>
  <si>
    <t xml:space="preserve">Connect a test laptop to the RS485 serial port of the Emerson gateway (50). </t>
  </si>
  <si>
    <r>
      <rPr>
        <sz val="7"/>
        <color theme="1"/>
        <rFont val="Times New Roman"/>
        <family val="1"/>
      </rPr>
      <t xml:space="preserve">  </t>
    </r>
    <r>
      <rPr>
        <sz val="12"/>
        <color theme="1"/>
        <rFont val="Times New Roman"/>
        <family val="1"/>
      </rPr>
      <t>Verify Modbus registers can be read from the wireless gateway via the serial port.</t>
    </r>
  </si>
  <si>
    <t>Validate that Modbus register values are showing the same values on the wireless workstation (PCN network), Yokogawa HIS and through the serial connection.</t>
  </si>
  <si>
    <t>All values match</t>
  </si>
  <si>
    <t>Verify the rules for the Modbus rules are configured in the Tofino Xenon Appliance</t>
  </si>
  <si>
    <t>Disable the Modbus Read rule in the Tofino Xenon appliance.</t>
  </si>
  <si>
    <t>From the Yokogawa HIS verify that the Modbus registers cannot be read from each gateway and are now in error.</t>
  </si>
  <si>
    <t>Enable the Modbus Read rule in the Tofino Xenon appliance an verify that Modbus registers can be read in the Yokogawa HIS.</t>
  </si>
  <si>
    <t>From a client computer on the gateway side of the Tofino ping the ALE card IP address.</t>
  </si>
  <si>
    <t>Verify that the ping traffic is alerted is stopped and reported in the Tofino Xenon event log.</t>
  </si>
  <si>
    <t>From a client computer on the gateway side of the Tofino perform a Modbus write the ALE card IP address.</t>
  </si>
  <si>
    <t>Verify that the Modbus command is stopped and reported in the Tofino Xenon event log.</t>
  </si>
  <si>
    <t>Verify that all other unwanted traffic is stopped and flagged in the Tofino Xenon Appliance</t>
  </si>
  <si>
    <t>Review Network options</t>
  </si>
  <si>
    <t>According to Belden the Xenon appliance can support multiple connections to each interface.  If the team decides to use the mobus enforcement device then a decision must be made to use one Xenon with a switch to connect many ALE111 cards or to use a Xenon per ALE111 card.  The Tofino Xenon is new technology so a Technology Assessment would be needed on the device before it could be put into service on the network.</t>
  </si>
  <si>
    <t>Gateway Ethernet Port Separation Test</t>
  </si>
  <si>
    <t>Validate network upsets on the one port of the gateway does not affect traffic on the other port.</t>
  </si>
  <si>
    <t>connect a laptop with modscan to 2 of the gateway and verify that port 1 is connected to the MAP.</t>
  </si>
  <si>
    <r>
      <rPr>
        <sz val="7"/>
        <color theme="1"/>
        <rFont val="Times New Roman"/>
        <family val="1"/>
      </rPr>
      <t xml:space="preserve">  </t>
    </r>
    <r>
      <rPr>
        <sz val="12"/>
        <color theme="1"/>
        <rFont val="Times New Roman"/>
        <family val="1"/>
      </rPr>
      <t>Validate Modbus registers can be read from the wireless gateway via port 2 and from the gateway browser manager via port 1.</t>
    </r>
  </si>
  <si>
    <t>Unplug the wired connection between the RAP and the WLC and wait until the WPN mesh is disconnected.</t>
  </si>
  <si>
    <t>Verify that Modus registers can still be read through port 2 of the gateway and the gateway browser is disconnected.</t>
  </si>
  <si>
    <t>Modbus registers were still active in the DCS even though connection was lost to the Wireless workstation on the PCN network.</t>
  </si>
  <si>
    <t>Reconnect the wired connection between the RAP and MAP and verify that the WiFi Mesh is re-established.</t>
  </si>
  <si>
    <t>Disconnect port 1 from the MAP.</t>
  </si>
  <si>
    <t>Reconnect port 1 of the MAP and verify that the WiFi Mesh is re-established.</t>
  </si>
  <si>
    <t>Open the web browser, change the subnet mask in the gateway and apply changes.</t>
  </si>
  <si>
    <t>Verify the Modbus data is lost while the gateway restarts.  Record the amount of time it takes to re-establish the network and record value in the comments section.</t>
  </si>
  <si>
    <t>Network was re-established in 9 minutes and 15 seconds.</t>
  </si>
  <si>
    <t>System Performance</t>
  </si>
  <si>
    <t>Understand throughput requirements of wireless network.</t>
  </si>
  <si>
    <t>Connect the Apposite Linktropy network simulator between port 1 of the RAP and the WLC.</t>
  </si>
  <si>
    <t>Verify that an OPC client is polling the gateways with an update rate of once per second.</t>
  </si>
  <si>
    <t>Monitor the traffic seen moving across the netork through the Apposite Linktropy user interace.</t>
  </si>
  <si>
    <t>Record the average traffic seen over a one hour period.</t>
  </si>
  <si>
    <t>20kb/sec nominsl was seen as the norm with occasional spikes up to 150kb/sec.  The setup included two gateways with three sensors per gateway and six tags per sensor were polled on a one second update rate via OPC.</t>
  </si>
  <si>
    <t>AMS Wireless Configurator</t>
  </si>
  <si>
    <t>Understand the capabilities of the Wireless Configurator utility</t>
  </si>
  <si>
    <t>Install AMS wireless configurator on the PCN VM server</t>
  </si>
  <si>
    <t>Add the gateways in the configurator interface</t>
  </si>
  <si>
    <t>Browse the network and verify that the sensors show up in the list.</t>
  </si>
  <si>
    <t>The gateways and instruments show up in the wireless configurator.</t>
  </si>
  <si>
    <t>Compare features between the AMS Wireless Configurator and AMS</t>
  </si>
  <si>
    <t>The gateways and instruments show up in the wireless configurator similar to AMS.  Need to understand what functionality is added in AMS that the wireless configurator is missing.  Need to determine if the wireless snap-on can be installed for the wireless configurator.</t>
  </si>
  <si>
    <t>Validate that traffic routing is not allowed between the two ports on the gateway.</t>
  </si>
  <si>
    <t xml:space="preserve">Connect a laptop into the network to communicate on VLAN 128. </t>
  </si>
  <si>
    <t>In network setting  for port 1 (10.4.0.50) set the default gateway to the IP address of port 2 (10.4.0.51)</t>
  </si>
  <si>
    <t>From the laptop ping 10.4.0.51</t>
  </si>
  <si>
    <t>The IP address should not be accessible from the laptop.</t>
  </si>
  <si>
    <t>The ping request timed out on the laptop verifying that routing between the ports is not capable.</t>
  </si>
  <si>
    <t>Gateway Redundancy Test</t>
  </si>
  <si>
    <t>This test was performed by ETC</t>
  </si>
  <si>
    <t>Verify operation of the redundant Emerson 1420 Gateways</t>
  </si>
  <si>
    <t>Open 1420 Gateway interface and verify that gateway redundancy is configured and all communications links are active.</t>
  </si>
  <si>
    <t>Identify a sensor joined to the redundant gateway and verify data values are being received.</t>
  </si>
  <si>
    <t>Simulate a power failure to the online gateway.</t>
  </si>
  <si>
    <t>Verify data values from joined gateway are still being received.</t>
  </si>
  <si>
    <t>Gateway A (online gateway) shows that it goes in to error.  Data collection switches from gateway A to B.</t>
  </si>
  <si>
    <t xml:space="preserve"> Reconnect power to the 1420 gateway.</t>
  </si>
  <si>
    <t>Verify that gateway powers up and observe current state of gateways through the gateway browser interface.</t>
  </si>
  <si>
    <t>Gateway A shows that it is no longer in error and is now the backup gateway.</t>
  </si>
  <si>
    <t>Requirement #</t>
  </si>
  <si>
    <t>Security Area</t>
  </si>
  <si>
    <t>Resp Party</t>
  </si>
  <si>
    <t>Requirement</t>
  </si>
  <si>
    <t>Rating (how we approach vendor or service provider)</t>
  </si>
  <si>
    <t>Tier Level (How we approach in particular environment)</t>
  </si>
  <si>
    <t>Simplified Questions</t>
  </si>
  <si>
    <t>Device Pass/Fail</t>
  </si>
  <si>
    <t>Pass/Fail Notes</t>
  </si>
  <si>
    <t>R000</t>
  </si>
  <si>
    <t>Device is LoRa-Alliance certified</t>
  </si>
  <si>
    <t>No</t>
  </si>
  <si>
    <t>R002</t>
  </si>
  <si>
    <t>Vulnerability management</t>
  </si>
  <si>
    <t>SVC PRVDR</t>
  </si>
  <si>
    <t>Service provider will notify client if devices or software has known vulnerabilities</t>
  </si>
  <si>
    <t>Critical - Must Have</t>
  </si>
  <si>
    <t>Tier 3</t>
  </si>
  <si>
    <t>Does the service provider notify Chevron of a vulnerability upon detection or public disclosure?</t>
  </si>
  <si>
    <t>R003</t>
  </si>
  <si>
    <t>MFG</t>
  </si>
  <si>
    <t>Vendor will ensure each networked device can be uniquely identified remotely in order to enable monitoring, management, and reporting.</t>
  </si>
  <si>
    <t>Can device be identified remotely using either a vendor hard coded identifier or a user controlled identifier?</t>
  </si>
  <si>
    <t>R004</t>
  </si>
  <si>
    <t>Operations</t>
  </si>
  <si>
    <t>Devices can be identified by a Physical Identifier.</t>
  </si>
  <si>
    <t>Can device be identified physically using either a vendor hard coded identifier such as a serial number or display?</t>
  </si>
  <si>
    <t>R005</t>
  </si>
  <si>
    <t>Procurement</t>
  </si>
  <si>
    <t>CVX</t>
  </si>
  <si>
    <t xml:space="preserve">Chevron Procurement will ensure security is part of the contract. </t>
  </si>
  <si>
    <t>Chevron internal use only</t>
  </si>
  <si>
    <t>R007</t>
  </si>
  <si>
    <t>Service provider will ensure that devices connected to Chevron assets are unable to be scanned from the internet</t>
  </si>
  <si>
    <t>Will the service provider ensure that all IIoT devices and gateways are protected from internet access and scans such as those from Shodan and other scanners for internet connected devices?</t>
  </si>
  <si>
    <t>R008</t>
  </si>
  <si>
    <t>Data protection</t>
  </si>
  <si>
    <t>Service provider will notify Chevron of any data breech involving Chevron devices or data</t>
  </si>
  <si>
    <t>Will the service provider notify Chevron if they experience a compromise or breach?</t>
  </si>
  <si>
    <t>Will the service provider notify Chevron of a compromise or breach with 48 hours of Chevron assets being detected as compromised?</t>
  </si>
  <si>
    <t>R010</t>
  </si>
  <si>
    <t>Access Control</t>
  </si>
  <si>
    <t>Vendor will provide a mechanism for central management of the devices that scales. This includes updating any part of the software/firmware/binaries installed on the device.</t>
  </si>
  <si>
    <t>Does the vendor have a centralized management application or appliance that can manage all the IIoT devices remotely?</t>
  </si>
  <si>
    <t>Does the vendor solution have the ability to patch or update all systems within 24 hours?</t>
  </si>
  <si>
    <t>R011</t>
  </si>
  <si>
    <t>If the device is accessible remotely then the login will be protected (e.g., SSH, HTTPS).</t>
  </si>
  <si>
    <t>Does the vendor solution, application, or device include a secure encrypted method (https, SSH, encrypted connection from a management console, etc.) to remotely login to the gateway device.</t>
  </si>
  <si>
    <t>R012</t>
  </si>
  <si>
    <t>Vendor ensures that credentials are not fixed in the firmware. Credentials cannot be hardcoded.</t>
  </si>
  <si>
    <t>Does the vendor device or software use hardcoded credentials (account/password) in any way?</t>
  </si>
  <si>
    <t>R014</t>
  </si>
  <si>
    <t xml:space="preserve">Vendor will ensure updates do not change the basic configuration or accounts installed on the device. Updates should not overwrite existing configurations, including those that allow remote management of the device. </t>
  </si>
  <si>
    <t>Does the vendor device allow for firmware patching and updates without requiring reconfiguration of the system to restore operation or access?</t>
  </si>
  <si>
    <t>R015</t>
  </si>
  <si>
    <t>Manufacturer will notify client if devices or software has known vulnerabilities</t>
  </si>
  <si>
    <t>Does the vendor have a process in place to notify customers of vulnerabilities that impact the vendor's devices?</t>
  </si>
  <si>
    <t>If the vendor has a process in place to notify customers of vulnerabilities, does that notification occur within 30 days of detection?</t>
  </si>
  <si>
    <t>R024</t>
  </si>
  <si>
    <t>If the vendor uses "keys" or "certificates" the vendor will provide a standardized key or certificate management  mechanism or system.</t>
  </si>
  <si>
    <t>High - Should have</t>
  </si>
  <si>
    <t>Does the vendor solution use certificates to protect system access and communications, and if so, does the service provider provide a mechanism to manage certificates?</t>
  </si>
  <si>
    <t>R025</t>
  </si>
  <si>
    <t>If data is attributable to Chevron, then it must be secured (e.g., encryption in transit and at rest ).</t>
  </si>
  <si>
    <t>If the data is attributable to Chevron, does the service provider protect (encrypted at rest and in transit) Chevron data  in case that data is compromised by unauthorized parties?</t>
  </si>
  <si>
    <t>R039</t>
  </si>
  <si>
    <t>Device will have the capability of password changing.</t>
  </si>
  <si>
    <t>Medium - Nice to Have</t>
  </si>
  <si>
    <t>Does the vendor solution include a mechanism to change accounts/passwords?</t>
  </si>
  <si>
    <t>R055</t>
  </si>
  <si>
    <t>If the system uses "keys" or "certificates," they will be managed by Chevron.</t>
  </si>
  <si>
    <t>If the service provider provides a mechanism to manage certificates, will it allow Chevron to manage and use external CA's such as DigiCert or others?</t>
  </si>
  <si>
    <t>If the service provider provides a mechanism to manage certificates, will it allow Chevron to revoke and reprovision all certificates within 24 hours?</t>
  </si>
  <si>
    <t>Does the service provider use certificates to protect system access and communications, and if so, does the service provider provide a mechanism to manage certificates?</t>
  </si>
  <si>
    <t>R056</t>
  </si>
  <si>
    <t>Locally configurable sensors must be secured or equipped with anti-tamper/tamper resistant controls. This may include some form of authentication.</t>
  </si>
  <si>
    <t xml:space="preserve">Does the vendor solution include mechanisms to prevent and identify system tampering (e.g. configuration change alerts, lockouts for front panel configuration buttons, CRC checks on firmware, physical tamper protection, etc.). </t>
  </si>
  <si>
    <t>Yes</t>
  </si>
  <si>
    <t>FMC250 is a listed product with published datasheet, documentation, and firmware resources.</t>
  </si>
  <si>
    <t>For rugged vehicle environments IP67 enclosure; designed for “challenging/harsh environments” with dust/water ingress protection.</t>
  </si>
  <si>
    <t xml:space="preserve"> IP67, wide temperature spec (without battery), and established remote management/firmware program suggest mature platform</t>
  </si>
  <si>
    <t>Evidence of ongoing maintenance &amp; releases via firmware changelog with dated releases and fixes/features.</t>
  </si>
  <si>
    <t>Operationally, you can schedule/assign firmware &amp; configuration tasks in bulk in FOTA WEB and push configurations remotely.</t>
  </si>
  <si>
    <t>FOTA WEB is a production service for managing devices (update/config/debug).</t>
  </si>
  <si>
    <t>CE/RED, E-Mark, RCM, RoHS, REACH</t>
  </si>
  <si>
    <t>FMC250 has an internal backup battery: 170 mAh Li‑Ion 3.7 V (0.63 Wh).</t>
  </si>
  <si>
    <t>Teltonika company "With over 25 years of experience, the company has deployed over 30 million devices and operates in more than 27 countries"</t>
  </si>
  <si>
    <t>N\A</t>
  </si>
  <si>
    <t>Evedence will be included</t>
  </si>
  <si>
    <t>160$</t>
  </si>
  <si>
    <t>GNSS positioning + CAN parameters</t>
  </si>
  <si>
    <t>device supports multiple modes and data sending logic typical of telematics, plus time sync via GPS/NITZ/NTP. You’d configure reporting through Teltonika tools (Configurator/FOTA</t>
  </si>
  <si>
    <t>Power from external - from veichle and not require estimate battery</t>
  </si>
  <si>
    <t>Cellular bearers (LTE Cat 1 / GSM / GPRS) MQTT</t>
  </si>
  <si>
    <t>Effectively point-to-cloud/server over cellular.</t>
  </si>
  <si>
    <t>Cellular bands listed for the EU variant (GSM B2/B3/B5/B8; LTE FDD B1/B3/B7/B8/B20/B28)</t>
  </si>
  <si>
    <t>FMC250_Datasheet_V1.1.pdf</t>
  </si>
  <si>
    <t>CVX Azure IoT HUB with MQTT</t>
  </si>
  <si>
    <t>PaaS in-house Software which Hosted in CVX Azure env</t>
  </si>
  <si>
    <t>Considered but no realized</t>
  </si>
  <si>
    <t xml:space="preserve">Yes, using internal RACI model </t>
  </si>
  <si>
    <t>Chevron ODA</t>
  </si>
  <si>
    <t>Central IIoT Platform - Chevron Digital Architecture System</t>
  </si>
  <si>
    <t>Teltonika provides FOTA WEB device management platform with grouping/tasking for bulk operations, suggesting scalability.</t>
  </si>
  <si>
    <t xml:space="preserve">Using internal RACI model </t>
  </si>
  <si>
    <t>IRM assessment - Evedence will be included</t>
  </si>
  <si>
    <t>IP67 ingress protection rating.</t>
  </si>
  <si>
    <t>−40°C to +85°C operating temperature specified.</t>
  </si>
  <si>
    <t>but not reqire (internal 170 mAh Li‑ion battery)</t>
  </si>
  <si>
    <t>Yes—configuration supported via Bluetooth and FMBT mobile application</t>
  </si>
  <si>
    <t>Teltonika Application and Device management/configuration updates are supported via FOTA WEB</t>
  </si>
  <si>
    <t>FOTA WEB – Firmware &amp; Configuration Tool | Teltonika Telematics</t>
  </si>
  <si>
    <t>https://wiki.teltonika-gps.com/images/3/3c/Quick_Manual_FMC250_v1.0.pdf</t>
  </si>
  <si>
    <t>Teltonika</t>
  </si>
  <si>
    <t>FMC 250</t>
  </si>
  <si>
    <t>Teltonika Telematics maintains a formal Vulnerability Disclosure Policy (VDP) and publishes security advisories and firmware updates for affected products. This establishes a defined process for identifying, disclosing, and remediating vulnerabilities impacting Teltonika devices, including the FMC250 family. Notifications are typically account/partner-based, meaning customers receive notices via their distributor or Teltonika support channels.</t>
  </si>
  <si>
    <t>Teltonika FMC250 devices can be uniquely identified remotely using multiple vendor‑provided, immutable and configurable identifiers, which fully support remote monitoring, device management, and reporting: Unique Remote Identifier – IMEI (Primary)
Each FMC250 has a globally unique IMEI assigned at manufacture.
The IMEI is:
Used for cellular network identification
Included in device telemetry and communication with servers
Visible in remote management platforms and via SMS/GPRS commands
This satisfies the requirement for a vendor hard‑coded unique identifier.</t>
  </si>
  <si>
    <t>The Teltonika FMC250 can be physically identified on the device itself using vendor‑provided, permanent identifiers, meeting the requirement for on‑site identification during installation, inspection, maintenance, and audit activities.
1. Manufacturer Serial Number &amp; IMEI (Primary Physical Identifiers)
Each FMC250 device is labeled with a unique IMEI and serial number assigned by the manufacturer.
These identifiers are:
Physically printed on the device label (housing/label area)
Permanent and non‑volatile
Globally unique
The IMEI/serial number provides a direct and unambiguous link between:
The physical device in the field
The logical device identity used in remote systems (telematics backend, FOTA WEB, enterprise integrations)</t>
  </si>
  <si>
    <t>For the Teltonika FMC250, preventing Internet scanning is normally straightforward because the device is designed to initiate outbound connections to your server / Teltonika services over pLTE cellular, not to expose a public-facing management interface. The “no internet scanning” control is achieved by ensuring no inbound-reachable public IP/ports exist for the device and by restricting outbound paths to only required destinations</t>
  </si>
  <si>
    <t>If a Security Incident involves Customer Data, Teltonika will notify the Customer without undue delay after becoming aware of a Personal Data Breach. https://rms.teltonika-networks.com/account/data-processing-agreement/</t>
  </si>
  <si>
    <t>Teltonika provides centralized, scalable device management through FOTA WEB, which supports fleet-wide remote firmware and configuration updates, task scheduling, grouping, and operational tooling that is explicitly designed for managing large numbers of devices.</t>
  </si>
  <si>
    <t>The Teltonika FMC250 meets this requirement through secure, encrypted remote access mechanisms. Where remote access exists, it is protected using HTTPS/TLS and authenticated vendor tooling. The device itself does not expose an open, unauthenticated remote login interface to the public internet</t>
  </si>
  <si>
    <t>Teltonika provides configurable, changeable authentication controls (configuration password/keyword, SMS login/password, Bluetooth PIN) that can be set, changed, disabled, and enforced—which means credentials are not permanently fixed/hardcoded in firmware - https://wiki.teltonika-gps.com/view/Configuration_password</t>
  </si>
  <si>
    <t>Teltonika FMC250 supports firmware patching and updates that preserve existing configuration and access, meaning devices do not require reconfiguration to restore normal operation after updates, when updated using the vendor‑supported mechanisms.</t>
  </si>
  <si>
    <t>Teltonika has a documented, formal process to manage and communicate security vulnerabilities affecting its devices and services, including customer notification and remediation guidance.</t>
  </si>
  <si>
    <t>Teltonika provides a standardized certificate handling mechanism as part of its centralized device management workflow, primarily through FOTA WEB, which supports certificate-related tasks (e.g., uploading a certificate to a device) and manages firmware/configuration distribution at scale. 
Additionally, Teltonika’s security guidance for trackers includes secure connection options (TLS/DTLS), which inherently rely on certificates/keys and are part of the vendor’s standardized security approach for the device family that includes FMC250.</t>
  </si>
  <si>
    <t>Data integration pLTE
Teltonika provides mechanisms and contractual commitments that support encryption of Chevron‑attributable data both in transit and at rest when Teltonika‑hosted services (e.g., FOTA Web / RMS) are used, and it supports secure transport options (TLS/DTLS) for device communications. Responsibility for end‑to‑end enforcement depends on the chosen deployment model (private APN, customer backend, TLS enablement)</t>
  </si>
  <si>
    <t>The Teltonika FMC250 (part of the FMC/FMB tracker family) supports changing all relevant access credentials used to configure and manage the device. Passwords/credentials are user‑defined, changeable, and enforceable, satisfying this requirement</t>
  </si>
  <si>
    <t>Teltonika provides strong anti‑tamper controls against configuration tampering (password/keyword protection, lockouts after failed attempts, secured configuration paths via FOTA Web/Configurator, and guidance to harden Bluetooth/SMS).</t>
  </si>
  <si>
    <t>Device was powered and configured in a lab environment. The sensor was connected to the pLTE cellular network. Network connectivity, device availability, and data transmission were verified. Connectivity and data ingestion to TCO IoT Hub (DEV environment) were configured and tested.</t>
  </si>
  <si>
    <t>Laboratory tests were completed successfully. The device maintained stable LTE connectivity, was reachable from the network, and successfully transmitted telemetry data to the TCO IoT Hub (DEV). No connectivity or data transmission issues were observed during testing.</t>
  </si>
  <si>
    <t>Field testing was performed by connecting the device to a vehicle power and telemetry interface. Vehicle telemetry data was collected and transmitted over the cellular network. Data delivery was validated to TCO IoT Hub (DEV) and subsequently to Chevron IoT Hub.</t>
  </si>
  <si>
    <t>Field tests were successful. The device reliably collected vehicle telemetry data and transmitted it via LTE to TCO IoT Hub (DEV). Integration and data flow to Chevron IoT Hub were verified and confirmed to be operational. No functional issues were identified during field 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</si>
</sst>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
      <b/>
      <sz val="14"/>
      <color theme="1"/>
      <name val="Times New Roman"/>
      <family val="1"/>
    </font>
    <font>
      <sz val="14"/>
      <color theme="1"/>
      <name val="Lucida Sans Unicode"/>
      <family val="2"/>
    </font>
    <font>
      <b/>
      <sz val="12"/>
      <color theme="1"/>
      <name val="Times New Roman"/>
      <family val="1"/>
    </font>
    <font>
      <b/>
      <sz val="14"/>
      <color theme="1"/>
      <name val="Lucida Sans Unicode"/>
      <family val="2"/>
    </font>
    <font>
      <b/>
      <sz val="12"/>
      <color theme="1"/>
      <name val="Calibri"/>
      <family val="2"/>
      <scheme val="minor"/>
    </font>
    <font>
      <sz val="11"/>
      <name val="Calibri"/>
      <family val="2"/>
      <scheme val="minor"/>
    </font>
    <font>
      <b/>
      <sz val="12"/>
      <name val="Times New Roman"/>
      <family val="1"/>
    </font>
    <font>
      <sz val="14"/>
      <name val="Lucida Sans Unicode"/>
      <family val="2"/>
    </font>
    <font>
      <b/>
      <sz val="12"/>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sz val="16"/>
      <color theme="1"/>
      <name val="Calibri"/>
      <family val="2"/>
      <scheme val="minor"/>
    </font>
    <font>
      <sz val="12"/>
      <name val="Calibri"/>
      <family val="2"/>
      <scheme val="minor"/>
    </font>
    <font>
      <b/>
      <sz val="20"/>
      <color theme="1"/>
      <name val="Calibri"/>
      <family val="2"/>
      <scheme val="minor"/>
    </font>
    <font>
      <u/>
      <sz val="11"/>
      <color theme="10"/>
      <name val="Calibri"/>
      <family val="2"/>
      <scheme val="minor"/>
    </font>
    <font>
      <sz val="10"/>
      <color theme="1"/>
      <name val="Calibri"/>
      <family val="2"/>
      <scheme val="minor"/>
    </font>
    <font>
      <b/>
      <sz val="16"/>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19" fillId="0" borderId="0" applyNumberFormat="0" applyFill="0" applyBorder="0" applyAlignment="0" applyProtection="0"/>
  </cellStyleXfs>
  <cellXfs count="124">
    <xf numFmtId="0" fontId="0" fillId="0" borderId="0" xfId="0"/>
    <xf numFmtId="0" fontId="1" fillId="0" borderId="0" xfId="0" applyFont="1"/>
    <xf numFmtId="0" fontId="0" fillId="0" borderId="1" xfId="0" applyBorder="1"/>
    <xf numFmtId="0" fontId="5" fillId="0" borderId="3" xfId="0" applyFont="1" applyBorder="1" applyAlignment="1">
      <alignment vertical="center" wrapText="1"/>
    </xf>
    <xf numFmtId="0" fontId="2" fillId="0" borderId="4" xfId="0" applyFont="1" applyBorder="1" applyAlignment="1">
      <alignment vertical="center" wrapText="1"/>
    </xf>
    <xf numFmtId="0" fontId="7" fillId="0" borderId="5" xfId="0" applyFont="1" applyBorder="1" applyAlignment="1">
      <alignment vertical="center" wrapText="1"/>
    </xf>
    <xf numFmtId="0" fontId="2" fillId="0" borderId="6" xfId="0" applyFont="1" applyBorder="1" applyAlignment="1">
      <alignment vertical="center" wrapText="1"/>
    </xf>
    <xf numFmtId="0" fontId="2" fillId="0" borderId="2" xfId="0" applyFont="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wrapText="1"/>
    </xf>
    <xf numFmtId="0" fontId="5" fillId="0" borderId="1" xfId="0" applyFont="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center" vertical="center" wrapText="1"/>
    </xf>
    <xf numFmtId="0" fontId="4" fillId="0" borderId="1" xfId="0" applyFont="1" applyBorder="1" applyAlignment="1">
      <alignment horizontal="center" vertical="center"/>
    </xf>
    <xf numFmtId="0" fontId="2" fillId="0" borderId="1" xfId="0" applyFont="1" applyBorder="1" applyAlignment="1">
      <alignment horizontal="left" vertical="center"/>
    </xf>
    <xf numFmtId="0" fontId="5" fillId="0" borderId="8" xfId="0" applyFont="1" applyBorder="1" applyAlignment="1">
      <alignment horizontal="center" vertical="center" wrapText="1"/>
    </xf>
    <xf numFmtId="0" fontId="6" fillId="0" borderId="0" xfId="0" applyFont="1" applyAlignment="1">
      <alignment horizontal="left" vertical="center"/>
    </xf>
    <xf numFmtId="0" fontId="6" fillId="0" borderId="1" xfId="0" applyFont="1" applyBorder="1" applyAlignment="1">
      <alignment horizontal="left" vertical="center"/>
    </xf>
    <xf numFmtId="0" fontId="0" fillId="0" borderId="0" xfId="0" applyAlignment="1">
      <alignment horizontal="center" vertical="center" wrapText="1"/>
    </xf>
    <xf numFmtId="0" fontId="2" fillId="0" borderId="0" xfId="0" applyFont="1" applyAlignment="1">
      <alignment horizontal="left" vertical="center"/>
    </xf>
    <xf numFmtId="0" fontId="7" fillId="0" borderId="0" xfId="0" applyFont="1" applyAlignment="1">
      <alignment horizontal="center" vertical="center" wrapText="1"/>
    </xf>
    <xf numFmtId="0" fontId="6" fillId="0" borderId="1" xfId="0" applyFont="1" applyBorder="1" applyAlignment="1">
      <alignment horizontal="left" vertical="center" wrapText="1"/>
    </xf>
    <xf numFmtId="0" fontId="2" fillId="0" borderId="1" xfId="0" applyFont="1" applyBorder="1" applyAlignment="1">
      <alignment vertical="top" wrapText="1"/>
    </xf>
    <xf numFmtId="0" fontId="8" fillId="0" borderId="2" xfId="0" applyFont="1" applyBorder="1"/>
    <xf numFmtId="0" fontId="2" fillId="0" borderId="2" xfId="0" applyFont="1" applyBorder="1" applyAlignment="1">
      <alignment horizontal="left" vertical="top" wrapText="1"/>
    </xf>
    <xf numFmtId="0" fontId="8" fillId="0" borderId="7" xfId="0" applyFont="1" applyBorder="1"/>
    <xf numFmtId="0" fontId="6" fillId="0" borderId="0" xfId="0" applyFont="1" applyAlignment="1">
      <alignment horizontal="left" vertical="center" wrapText="1"/>
    </xf>
    <xf numFmtId="0" fontId="12" fillId="0" borderId="0" xfId="0" applyFont="1"/>
    <xf numFmtId="0" fontId="8" fillId="0" borderId="0" xfId="0" applyFont="1"/>
    <xf numFmtId="0" fontId="9" fillId="0" borderId="1" xfId="0" applyFont="1" applyBorder="1" applyAlignment="1">
      <alignment horizontal="center" vertical="center" wrapText="1"/>
    </xf>
    <xf numFmtId="0" fontId="11" fillId="0" borderId="8" xfId="0" applyFont="1" applyBorder="1" applyAlignment="1">
      <alignment horizontal="center" vertical="center" wrapText="1"/>
    </xf>
    <xf numFmtId="0" fontId="9" fillId="0" borderId="1" xfId="0" applyFont="1" applyBorder="1" applyAlignment="1">
      <alignment wrapText="1"/>
    </xf>
    <xf numFmtId="2" fontId="4" fillId="0" borderId="1" xfId="0" applyNumberFormat="1" applyFont="1" applyBorder="1" applyAlignment="1">
      <alignment horizontal="center" vertical="center"/>
    </xf>
    <xf numFmtId="0" fontId="10"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0" fillId="0" borderId="8" xfId="0" applyBorder="1" applyAlignment="1">
      <alignment wrapText="1"/>
    </xf>
    <xf numFmtId="0" fontId="5" fillId="0" borderId="9" xfId="0" applyFont="1" applyBorder="1" applyAlignment="1">
      <alignment horizontal="center" vertical="center" wrapText="1"/>
    </xf>
    <xf numFmtId="0" fontId="7" fillId="0" borderId="1" xfId="0" applyFont="1" applyBorder="1" applyAlignment="1">
      <alignment horizontal="center" vertical="center" wrapText="1"/>
    </xf>
    <xf numFmtId="0" fontId="2" fillId="0" borderId="0" xfId="0" applyFont="1" applyAlignment="1">
      <alignment vertical="top" wrapText="1"/>
    </xf>
    <xf numFmtId="0" fontId="0" fillId="0" borderId="8" xfId="0" applyBorder="1" applyAlignment="1">
      <alignment vertical="top" wrapText="1"/>
    </xf>
    <xf numFmtId="0" fontId="0" fillId="2" borderId="1" xfId="0" applyFill="1" applyBorder="1"/>
    <xf numFmtId="0" fontId="1" fillId="2" borderId="7" xfId="0" applyFont="1" applyFill="1" applyBorder="1"/>
    <xf numFmtId="0" fontId="1" fillId="2" borderId="1" xfId="0" applyFont="1" applyFill="1" applyBorder="1"/>
    <xf numFmtId="0" fontId="1" fillId="2" borderId="2" xfId="0" applyFont="1" applyFill="1" applyBorder="1"/>
    <xf numFmtId="0" fontId="13" fillId="0" borderId="7" xfId="0" applyFont="1" applyBorder="1"/>
    <xf numFmtId="0" fontId="13" fillId="0" borderId="4" xfId="0" applyFont="1" applyBorder="1" applyAlignment="1">
      <alignment vertical="center" wrapText="1"/>
    </xf>
    <xf numFmtId="0" fontId="15" fillId="0" borderId="5" xfId="0" applyFont="1" applyBorder="1" applyAlignment="1">
      <alignment vertical="center" wrapText="1"/>
    </xf>
    <xf numFmtId="0" fontId="13" fillId="0" borderId="6" xfId="0" applyFont="1" applyBorder="1" applyAlignment="1">
      <alignment vertical="center" wrapText="1"/>
    </xf>
    <xf numFmtId="0" fontId="15" fillId="0" borderId="1" xfId="0" applyFont="1" applyBorder="1" applyAlignment="1">
      <alignment horizontal="center" vertical="center"/>
    </xf>
    <xf numFmtId="0" fontId="13" fillId="0" borderId="2" xfId="0" applyFont="1" applyBorder="1" applyAlignment="1">
      <alignment horizontal="left" vertical="center" wrapText="1"/>
    </xf>
    <xf numFmtId="0" fontId="13" fillId="0" borderId="2" xfId="0" applyFont="1" applyBorder="1" applyAlignment="1">
      <alignment horizontal="left" vertical="top"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13" fillId="0" borderId="1" xfId="0" applyFont="1" applyBorder="1" applyAlignment="1">
      <alignment horizontal="left" vertical="center"/>
    </xf>
    <xf numFmtId="0" fontId="13" fillId="0" borderId="1" xfId="0" applyFont="1" applyBorder="1" applyAlignment="1">
      <alignment vertical="top" wrapText="1"/>
    </xf>
    <xf numFmtId="0" fontId="8" fillId="0" borderId="0" xfId="0" applyFont="1" applyAlignment="1">
      <alignment horizontal="left" vertical="center" wrapText="1"/>
    </xf>
    <xf numFmtId="2" fontId="15" fillId="0" borderId="1" xfId="0" applyNumberFormat="1" applyFont="1" applyBorder="1" applyAlignment="1">
      <alignment horizontal="center" vertical="center"/>
    </xf>
    <xf numFmtId="0" fontId="13" fillId="0" borderId="1" xfId="0" applyFont="1" applyBorder="1" applyAlignment="1">
      <alignment horizontal="left" vertical="center" wrapText="1" indent="1"/>
    </xf>
    <xf numFmtId="0" fontId="13" fillId="0" borderId="1" xfId="0" applyFont="1" applyBorder="1" applyAlignment="1">
      <alignment horizontal="left" vertical="center" indent="1"/>
    </xf>
    <xf numFmtId="0" fontId="13" fillId="0" borderId="1" xfId="0" applyFont="1" applyBorder="1" applyAlignment="1">
      <alignment horizontal="left" vertical="center" indent="2"/>
    </xf>
    <xf numFmtId="0" fontId="13" fillId="0" borderId="1" xfId="0" applyFont="1" applyBorder="1" applyAlignment="1">
      <alignment horizontal="left" vertical="top" wrapText="1" indent="1"/>
    </xf>
    <xf numFmtId="0" fontId="8" fillId="0" borderId="1" xfId="0" applyFont="1" applyBorder="1" applyAlignment="1">
      <alignment vertical="top" wrapText="1"/>
    </xf>
    <xf numFmtId="0" fontId="15" fillId="0" borderId="7" xfId="0" applyFont="1" applyBorder="1"/>
    <xf numFmtId="164" fontId="15" fillId="0" borderId="1" xfId="0" applyNumberFormat="1" applyFont="1" applyBorder="1" applyAlignment="1">
      <alignment horizontal="center" vertical="center"/>
    </xf>
    <xf numFmtId="0" fontId="13" fillId="0" borderId="0" xfId="0" applyFont="1" applyAlignment="1">
      <alignment horizontal="left" vertical="center"/>
    </xf>
    <xf numFmtId="0" fontId="13" fillId="0" borderId="1" xfId="0" applyFont="1" applyBorder="1"/>
    <xf numFmtId="0" fontId="15" fillId="0" borderId="2" xfId="0" applyFont="1" applyBorder="1"/>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2" xfId="0" applyFont="1" applyBorder="1" applyAlignment="1">
      <alignment horizontal="left" vertical="center" wrapText="1" indent="1"/>
    </xf>
    <xf numFmtId="0" fontId="16" fillId="0" borderId="3" xfId="0" applyFont="1" applyBorder="1" applyAlignment="1">
      <alignment vertical="center" wrapText="1"/>
    </xf>
    <xf numFmtId="0" fontId="8" fillId="0" borderId="5" xfId="0" applyFont="1" applyBorder="1" applyAlignment="1">
      <alignment vertical="center" wrapText="1"/>
    </xf>
    <xf numFmtId="0" fontId="17" fillId="0" borderId="1" xfId="0" applyFont="1" applyBorder="1" applyAlignment="1">
      <alignment horizontal="left" vertical="center" indent="1"/>
    </xf>
    <xf numFmtId="0" fontId="15" fillId="0" borderId="0" xfId="0" applyFont="1" applyAlignment="1">
      <alignment horizontal="left" vertical="center"/>
    </xf>
    <xf numFmtId="0" fontId="15" fillId="0" borderId="1" xfId="0" applyFont="1" applyBorder="1"/>
    <xf numFmtId="0" fontId="17" fillId="0" borderId="1" xfId="0" applyFont="1" applyBorder="1" applyAlignment="1">
      <alignment horizontal="center" vertical="center" wrapText="1"/>
    </xf>
    <xf numFmtId="0" fontId="0" fillId="0" borderId="1" xfId="0" applyBorder="1" applyAlignment="1">
      <alignment horizontal="left" wrapText="1"/>
    </xf>
    <xf numFmtId="0" fontId="9" fillId="0" borderId="1" xfId="0" applyFont="1" applyBorder="1" applyAlignment="1">
      <alignment horizontal="left" wrapText="1"/>
    </xf>
    <xf numFmtId="0" fontId="0" fillId="0" borderId="0" xfId="0" applyAlignment="1">
      <alignment horizontal="left"/>
    </xf>
    <xf numFmtId="0" fontId="1" fillId="2" borderId="1" xfId="0" applyFont="1" applyFill="1" applyBorder="1" applyAlignment="1">
      <alignment horizontal="left"/>
    </xf>
    <xf numFmtId="0" fontId="0" fillId="0" borderId="1" xfId="0" applyBorder="1" applyAlignment="1">
      <alignment horizontal="left"/>
    </xf>
    <xf numFmtId="0" fontId="0" fillId="0" borderId="0" xfId="0" applyAlignment="1">
      <alignment horizontal="left" wrapText="1"/>
    </xf>
    <xf numFmtId="0" fontId="1" fillId="2" borderId="2" xfId="0" applyFont="1" applyFill="1" applyBorder="1" applyAlignment="1">
      <alignment horizontal="left"/>
    </xf>
    <xf numFmtId="0" fontId="1" fillId="0" borderId="0" xfId="0" applyFont="1" applyAlignment="1">
      <alignment wrapText="1"/>
    </xf>
    <xf numFmtId="0" fontId="18" fillId="3" borderId="10" xfId="0" applyFont="1" applyFill="1" applyBorder="1" applyAlignment="1">
      <alignment horizontal="center" vertical="center"/>
    </xf>
    <xf numFmtId="0" fontId="14" fillId="0" borderId="1" xfId="0" applyFont="1" applyBorder="1" applyAlignment="1">
      <alignment horizontal="center" vertical="center" wrapText="1"/>
    </xf>
    <xf numFmtId="0" fontId="14" fillId="0" borderId="0" xfId="0" applyFont="1" applyAlignment="1">
      <alignment horizontal="center" vertical="center" wrapText="1"/>
    </xf>
    <xf numFmtId="0" fontId="14" fillId="0" borderId="8" xfId="0" applyFont="1" applyBorder="1" applyAlignment="1">
      <alignment horizontal="center" vertical="center" wrapText="1"/>
    </xf>
    <xf numFmtId="0" fontId="0" fillId="0" borderId="0" xfId="0" applyAlignment="1">
      <alignment horizontal="center" vertical="center"/>
    </xf>
    <xf numFmtId="0" fontId="1" fillId="2" borderId="1" xfId="0" applyFont="1" applyFill="1" applyBorder="1" applyAlignment="1">
      <alignment horizontal="center" vertical="center"/>
    </xf>
    <xf numFmtId="0" fontId="1" fillId="0" borderId="0" xfId="0" applyFont="1" applyAlignment="1">
      <alignment horizontal="center" vertical="center" wrapText="1"/>
    </xf>
    <xf numFmtId="0" fontId="1" fillId="3" borderId="0" xfId="0" applyFont="1" applyFill="1" applyAlignment="1">
      <alignment horizontal="left" vertical="center"/>
    </xf>
    <xf numFmtId="0" fontId="19" fillId="0" borderId="0" xfId="1"/>
    <xf numFmtId="0" fontId="20" fillId="0" borderId="1" xfId="0" applyFont="1" applyBorder="1" applyAlignment="1">
      <alignment horizontal="center" vertical="center" wrapText="1"/>
    </xf>
    <xf numFmtId="0" fontId="14" fillId="2" borderId="1" xfId="0" applyFont="1" applyFill="1" applyBorder="1" applyAlignment="1">
      <alignment horizontal="center" vertical="center" wrapText="1"/>
    </xf>
    <xf numFmtId="0" fontId="21" fillId="3" borderId="7" xfId="0" applyFont="1" applyFill="1" applyBorder="1" applyAlignment="1">
      <alignment horizontal="center" vertical="center"/>
    </xf>
    <xf numFmtId="0" fontId="21" fillId="3" borderId="0" xfId="0" applyFont="1" applyFill="1" applyAlignment="1">
      <alignment horizontal="center" vertical="center"/>
    </xf>
    <xf numFmtId="0" fontId="13" fillId="2" borderId="1" xfId="0" applyFont="1" applyFill="1" applyBorder="1" applyAlignment="1">
      <alignment horizontal="center" vertical="center" wrapText="1"/>
    </xf>
    <xf numFmtId="0" fontId="0" fillId="2" borderId="1" xfId="0" applyFill="1" applyBorder="1" applyAlignment="1">
      <alignment horizontal="left" wrapText="1"/>
    </xf>
    <xf numFmtId="0" fontId="0" fillId="2" borderId="1" xfId="0" applyFill="1" applyBorder="1" applyAlignment="1">
      <alignment horizontal="left"/>
    </xf>
    <xf numFmtId="0" fontId="13" fillId="2" borderId="1" xfId="0" applyFont="1" applyFill="1" applyBorder="1" applyAlignment="1">
      <alignment horizontal="left" vertical="center" indent="1"/>
    </xf>
    <xf numFmtId="0" fontId="0" fillId="0" borderId="1" xfId="0" quotePrefix="1" applyBorder="1" applyAlignment="1">
      <alignment horizontal="left" wrapText="1"/>
    </xf>
    <xf numFmtId="0" fontId="22" fillId="0" borderId="1" xfId="0" applyFont="1" applyBorder="1" applyAlignment="1">
      <alignment horizontal="left" wrapText="1"/>
    </xf>
    <xf numFmtId="0" fontId="1" fillId="4" borderId="11" xfId="0" applyFont="1" applyFill="1" applyBorder="1" applyAlignment="1">
      <alignment vertical="top" wrapText="1"/>
    </xf>
    <xf numFmtId="0" fontId="1" fillId="4" borderId="11" xfId="0" applyFont="1" applyFill="1" applyBorder="1" applyAlignment="1">
      <alignment horizontal="center" vertical="top"/>
    </xf>
    <xf numFmtId="0" fontId="0" fillId="4" borderId="11" xfId="0" applyFill="1" applyBorder="1"/>
    <xf numFmtId="0" fontId="0" fillId="0" borderId="0" xfId="0" applyAlignment="1">
      <alignment vertical="top" wrapText="1"/>
    </xf>
    <xf numFmtId="0" fontId="9" fillId="0" borderId="0" xfId="0" applyFont="1" applyAlignment="1">
      <alignment vertical="top" wrapText="1"/>
    </xf>
    <xf numFmtId="0" fontId="0" fillId="0" borderId="0" xfId="0" applyAlignment="1">
      <alignment horizontal="center" vertical="top"/>
    </xf>
    <xf numFmtId="0" fontId="19" fillId="0" borderId="0" xfId="1" applyAlignment="1">
      <alignment wrapText="1"/>
    </xf>
    <xf numFmtId="0" fontId="19" fillId="0" borderId="1" xfId="1" applyBorder="1" applyAlignment="1">
      <alignment wrapText="1"/>
    </xf>
    <xf numFmtId="0" fontId="13" fillId="2" borderId="1" xfId="0" applyFont="1" applyFill="1" applyBorder="1" applyAlignment="1">
      <alignment horizontal="center" vertical="center" wrapText="1" indent="1"/>
    </xf>
    <xf numFmtId="0" fontId="13" fillId="2" borderId="12" xfId="0" applyFont="1" applyFill="1" applyBorder="1" applyAlignment="1">
      <alignment horizontal="center" vertical="center" wrapText="1" indent="1"/>
    </xf>
    <xf numFmtId="0" fontId="13" fillId="2" borderId="9" xfId="0" applyFont="1" applyFill="1" applyBorder="1" applyAlignment="1">
      <alignment horizontal="center" vertical="center" wrapText="1" indent="1"/>
    </xf>
    <xf numFmtId="0" fontId="13" fillId="2" borderId="12"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13" xfId="0" applyFont="1" applyFill="1" applyBorder="1" applyAlignment="1">
      <alignment horizontal="center" vertical="center" wrapText="1" indent="1"/>
    </xf>
    <xf numFmtId="0" fontId="0" fillId="2" borderId="12" xfId="0" applyFill="1" applyBorder="1" applyAlignment="1">
      <alignment horizontal="center" wrapText="1"/>
    </xf>
    <xf numFmtId="0" fontId="0" fillId="2" borderId="9" xfId="0" applyFill="1" applyBorder="1" applyAlignment="1">
      <alignment horizontal="center" wrapText="1"/>
    </xf>
    <xf numFmtId="0" fontId="0" fillId="2" borderId="13" xfId="0" applyFill="1" applyBorder="1" applyAlignment="1">
      <alignment horizontal="center" wrapText="1"/>
    </xf>
  </cellXfs>
  <cellStyles count="2">
    <cellStyle name="Hyperlink" xfId="1" builtinId="8"/>
    <cellStyle name="Normal" xfId="0" builtinId="0"/>
  </cellStyles>
  <dxfs count="2">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305734</xdr:colOff>
      <xdr:row>7</xdr:row>
      <xdr:rowOff>30442</xdr:rowOff>
    </xdr:from>
    <xdr:to>
      <xdr:col>35</xdr:col>
      <xdr:colOff>51569</xdr:colOff>
      <xdr:row>55</xdr:row>
      <xdr:rowOff>102810</xdr:rowOff>
    </xdr:to>
    <xdr:pic>
      <xdr:nvPicPr>
        <xdr:cNvPr id="2" name="Picture 1">
          <a:extLst>
            <a:ext uri="{FF2B5EF4-FFF2-40B4-BE49-F238E27FC236}">
              <a16:creationId xmlns:a16="http://schemas.microsoft.com/office/drawing/2014/main" id="{C0629F90-6DB8-A9D2-E2D6-49856D9DE60A}"/>
            </a:ext>
          </a:extLst>
        </xdr:cNvPr>
        <xdr:cNvPicPr>
          <a:picLocks noChangeAspect="1"/>
        </xdr:cNvPicPr>
      </xdr:nvPicPr>
      <xdr:blipFill>
        <a:blip xmlns:r="http://schemas.openxmlformats.org/officeDocument/2006/relationships" r:embed="rId1"/>
        <a:stretch>
          <a:fillRect/>
        </a:stretch>
      </xdr:blipFill>
      <xdr:spPr>
        <a:xfrm>
          <a:off x="6356910" y="1285501"/>
          <a:ext cx="14873777" cy="86784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glirm/IRSMIntTeam/SPPM/securitytech/IOT%20Security1/IoT_Vendor_Checklist_Requirements_FINAL_with_Standar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1691 Requirments Per Vertical"/>
      <sheetName val="Proposed Minimum Baseline"/>
      <sheetName val="Additional Requirements"/>
      <sheetName val="List"/>
      <sheetName val="Next Steps"/>
      <sheetName val="Consolidated"/>
      <sheetName val="Archive_Consolidated"/>
    </sheetNames>
    <sheetDataSet>
      <sheetData sheetId="0"/>
      <sheetData sheetId="1"/>
      <sheetData sheetId="2"/>
      <sheetData sheetId="3">
        <row r="1">
          <cell r="A1" t="str">
            <v>Critical - Must Have</v>
          </cell>
        </row>
        <row r="2">
          <cell r="A2" t="str">
            <v>High - Should have</v>
          </cell>
        </row>
        <row r="3">
          <cell r="A3" t="str">
            <v>Medium - Nice to Have</v>
          </cell>
        </row>
        <row r="4">
          <cell r="A4" t="str">
            <v>Do Not Need</v>
          </cell>
        </row>
      </sheetData>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iki.teltonika-gps.com/images/b/bf/FMC250_Datasheet_V1.1.pdf" TargetMode="External"/><Relationship Id="rId13" Type="http://schemas.openxmlformats.org/officeDocument/2006/relationships/hyperlink" Target="https://wiki.teltonika-gps.com/images/b/bf/FMC250_Datasheet_V1.1.pdf" TargetMode="External"/><Relationship Id="rId18" Type="http://schemas.openxmlformats.org/officeDocument/2006/relationships/hyperlink" Target="https://wiki.teltonika-gps.com/images/3/3c/Quick_Manual_FMC250_v1.0.pdf" TargetMode="External"/><Relationship Id="rId3" Type="http://schemas.openxmlformats.org/officeDocument/2006/relationships/hyperlink" Target="https://cdas.azure.chevron.com/ITE-OT/Patterns/Central-IIoT-Platform.html" TargetMode="External"/><Relationship Id="rId21" Type="http://schemas.openxmlformats.org/officeDocument/2006/relationships/printerSettings" Target="../printerSettings/printerSettings1.bin"/><Relationship Id="rId7" Type="http://schemas.openxmlformats.org/officeDocument/2006/relationships/hyperlink" Target="https://wiki.teltonika-gps.com/images/b/bf/FMC250_Datasheet_V1.1.pdf" TargetMode="External"/><Relationship Id="rId12" Type="http://schemas.openxmlformats.org/officeDocument/2006/relationships/hyperlink" Target="https://wiki.teltonika-gps.com/images/b/bf/FMC250_Datasheet_V1.1.pdf" TargetMode="External"/><Relationship Id="rId17" Type="http://schemas.openxmlformats.org/officeDocument/2006/relationships/hyperlink" Target="https://wiki.teltonika-gps.com/images/3/3c/Quick_Manual_FMC250_v1.0.pdf" TargetMode="External"/><Relationship Id="rId2" Type="http://schemas.openxmlformats.org/officeDocument/2006/relationships/hyperlink" Target="https://cdas.azure.chevron.com/ITE-OT/Patterns/Central-IIoT-Platform.html" TargetMode="External"/><Relationship Id="rId16" Type="http://schemas.openxmlformats.org/officeDocument/2006/relationships/hyperlink" Target="https://www.teltonika-gps.com/solutions/fota-web" TargetMode="External"/><Relationship Id="rId20" Type="http://schemas.openxmlformats.org/officeDocument/2006/relationships/hyperlink" Target="https://wiki.teltonika-gps.com/images/3/3c/Quick_Manual_FMC250_v1.0.pdf" TargetMode="External"/><Relationship Id="rId1" Type="http://schemas.openxmlformats.org/officeDocument/2006/relationships/hyperlink" Target="https://wiki.teltonika-gps.com/images/b/bf/FMC250_Datasheet_V1.1.pdf" TargetMode="External"/><Relationship Id="rId6" Type="http://schemas.openxmlformats.org/officeDocument/2006/relationships/hyperlink" Target="https://wiki.teltonika-gps.com/images/b/bf/FMC250_Datasheet_V1.1.pdf" TargetMode="External"/><Relationship Id="rId11" Type="http://schemas.openxmlformats.org/officeDocument/2006/relationships/hyperlink" Target="https://wiki.teltonika-gps.com/images/b/bf/FMC250_Datasheet_V1.1.pdf" TargetMode="External"/><Relationship Id="rId5" Type="http://schemas.openxmlformats.org/officeDocument/2006/relationships/hyperlink" Target="https://wiki.teltonika-gps.com/images/b/bf/FMC250_Datasheet_V1.1.pdf" TargetMode="External"/><Relationship Id="rId15" Type="http://schemas.openxmlformats.org/officeDocument/2006/relationships/hyperlink" Target="https://wiki.teltonika-gps.com/images/b/bf/FMC250_Datasheet_V1.1.pdf" TargetMode="External"/><Relationship Id="rId10" Type="http://schemas.openxmlformats.org/officeDocument/2006/relationships/hyperlink" Target="https://wiki.teltonika-gps.com/images/b/bf/FMC250_Datasheet_V1.1.pdf" TargetMode="External"/><Relationship Id="rId19" Type="http://schemas.openxmlformats.org/officeDocument/2006/relationships/hyperlink" Target="https://wiki.teltonika-gps.com/images/3/3c/Quick_Manual_FMC250_v1.0.pdf" TargetMode="External"/><Relationship Id="rId4" Type="http://schemas.openxmlformats.org/officeDocument/2006/relationships/hyperlink" Target="https://wiki.teltonika-gps.com/images/b/bf/FMC250_Datasheet_V1.1.pdf" TargetMode="External"/><Relationship Id="rId9" Type="http://schemas.openxmlformats.org/officeDocument/2006/relationships/hyperlink" Target="https://wiki.teltonika-gps.com/images/b/bf/FMC250_Datasheet_V1.1.pdf" TargetMode="External"/><Relationship Id="rId14" Type="http://schemas.openxmlformats.org/officeDocument/2006/relationships/hyperlink" Target="https://wiki.teltonika-gps.com/images/b/bf/FMC250_Datasheet_V1.1.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16261-EEC1-4AD8-846A-4BAF675C8F19}">
  <dimension ref="B1:G172"/>
  <sheetViews>
    <sheetView topLeftCell="A46" zoomScaleNormal="100" zoomScaleSheetLayoutView="100" workbookViewId="0">
      <selection activeCell="E61" sqref="E61:E63"/>
    </sheetView>
  </sheetViews>
  <sheetFormatPr defaultColWidth="9.1796875" defaultRowHeight="14.5" x14ac:dyDescent="0.35"/>
  <cols>
    <col min="1" max="1" width="5" customWidth="1"/>
    <col min="2" max="2" width="10.7265625" bestFit="1" customWidth="1"/>
    <col min="3" max="3" width="102.26953125" bestFit="1" customWidth="1"/>
    <col min="4" max="4" width="14.453125" style="91" customWidth="1"/>
    <col min="5" max="5" width="56.453125" style="81" customWidth="1"/>
    <col min="6" max="6" width="32" style="81" customWidth="1"/>
    <col min="7" max="7" width="52.1796875" customWidth="1"/>
    <col min="8" max="8" width="38.26953125" customWidth="1"/>
  </cols>
  <sheetData>
    <row r="1" spans="2:7" ht="26" x14ac:dyDescent="0.35">
      <c r="B1" s="86" t="s">
        <v>0</v>
      </c>
      <c r="C1" s="87" t="s">
        <v>394</v>
      </c>
    </row>
    <row r="2" spans="2:7" ht="29" x14ac:dyDescent="0.35">
      <c r="B2" s="86" t="s">
        <v>1</v>
      </c>
      <c r="C2" s="98" t="s">
        <v>395</v>
      </c>
    </row>
    <row r="3" spans="2:7" ht="29" x14ac:dyDescent="0.35">
      <c r="B3" s="86" t="s">
        <v>2</v>
      </c>
      <c r="C3" s="99"/>
      <c r="D3" s="93" t="s">
        <v>3</v>
      </c>
      <c r="E3" s="94"/>
    </row>
    <row r="4" spans="2:7" x14ac:dyDescent="0.35">
      <c r="E4" s="95"/>
    </row>
    <row r="5" spans="2:7" ht="16" thickBot="1" x14ac:dyDescent="0.4">
      <c r="B5" s="29"/>
      <c r="C5" s="30"/>
    </row>
    <row r="6" spans="2:7" ht="21.5" thickBot="1" x14ac:dyDescent="0.4">
      <c r="B6" s="73" t="s">
        <v>4</v>
      </c>
      <c r="C6" s="48" t="s">
        <v>5</v>
      </c>
    </row>
    <row r="7" spans="2:7" ht="16" thickBot="1" x14ac:dyDescent="0.4">
      <c r="B7" s="74" t="s">
        <v>6</v>
      </c>
      <c r="C7" s="50" t="s">
        <v>7</v>
      </c>
    </row>
    <row r="8" spans="2:7" ht="19" thickBot="1" x14ac:dyDescent="0.4">
      <c r="B8" s="49" t="s">
        <v>8</v>
      </c>
      <c r="C8" s="50" t="s">
        <v>9</v>
      </c>
    </row>
    <row r="9" spans="2:7" ht="15.5" x14ac:dyDescent="0.35">
      <c r="B9" s="29"/>
      <c r="C9" s="30"/>
    </row>
    <row r="11" spans="2:7" x14ac:dyDescent="0.35">
      <c r="B11" s="1"/>
    </row>
    <row r="12" spans="2:7" x14ac:dyDescent="0.35">
      <c r="B12" s="43"/>
      <c r="C12" s="46"/>
      <c r="D12" s="92" t="s">
        <v>10</v>
      </c>
      <c r="E12" s="82" t="s">
        <v>11</v>
      </c>
      <c r="F12" s="82" t="s">
        <v>12</v>
      </c>
      <c r="G12" s="45" t="s">
        <v>13</v>
      </c>
    </row>
    <row r="13" spans="2:7" ht="44.5" x14ac:dyDescent="0.45">
      <c r="B13" s="51">
        <v>3.1</v>
      </c>
      <c r="C13" s="69" t="s">
        <v>14</v>
      </c>
      <c r="D13" s="8"/>
      <c r="E13" s="79"/>
      <c r="F13" s="113" t="s">
        <v>393</v>
      </c>
      <c r="G13" s="2"/>
    </row>
    <row r="14" spans="2:7" s="11" customFormat="1" ht="29" x14ac:dyDescent="0.35">
      <c r="B14" s="71">
        <v>1</v>
      </c>
      <c r="C14" s="52" t="s">
        <v>15</v>
      </c>
      <c r="D14" s="79" t="s">
        <v>358</v>
      </c>
      <c r="E14" s="79" t="s">
        <v>359</v>
      </c>
      <c r="F14" s="95" t="s">
        <v>377</v>
      </c>
      <c r="G14" s="9"/>
    </row>
    <row r="15" spans="2:7" s="11" customFormat="1" ht="72.5" x14ac:dyDescent="0.35">
      <c r="B15" s="71">
        <v>2</v>
      </c>
      <c r="C15" s="52" t="s">
        <v>16</v>
      </c>
      <c r="D15" s="79" t="s">
        <v>358</v>
      </c>
      <c r="E15" s="79">
        <v>2023</v>
      </c>
      <c r="F15" s="79" t="s">
        <v>367</v>
      </c>
      <c r="G15" s="9"/>
    </row>
    <row r="16" spans="2:7" s="11" customFormat="1" ht="43.5" x14ac:dyDescent="0.35">
      <c r="B16" s="71">
        <v>3</v>
      </c>
      <c r="C16" s="52" t="s">
        <v>17</v>
      </c>
      <c r="D16" s="88"/>
      <c r="E16" s="79" t="s">
        <v>367</v>
      </c>
      <c r="G16" s="9"/>
    </row>
    <row r="17" spans="2:7" s="11" customFormat="1" ht="43.5" x14ac:dyDescent="0.35">
      <c r="B17" s="71"/>
      <c r="C17" s="52" t="s">
        <v>18</v>
      </c>
      <c r="D17" s="88"/>
      <c r="E17" s="79" t="s">
        <v>367</v>
      </c>
      <c r="F17" s="79"/>
      <c r="G17" s="9"/>
    </row>
    <row r="18" spans="2:7" s="11" customFormat="1" ht="18.5" x14ac:dyDescent="0.35">
      <c r="B18" s="71">
        <v>4</v>
      </c>
      <c r="C18" s="52" t="s">
        <v>19</v>
      </c>
      <c r="D18" s="88"/>
      <c r="E18" s="79"/>
      <c r="F18" s="79"/>
      <c r="G18" s="9"/>
    </row>
    <row r="19" spans="2:7" s="11" customFormat="1" ht="18.5" x14ac:dyDescent="0.35">
      <c r="B19" s="71"/>
      <c r="C19" s="52" t="s">
        <v>20</v>
      </c>
      <c r="D19" s="88"/>
      <c r="E19" s="79"/>
      <c r="F19" s="79"/>
      <c r="G19" s="9"/>
    </row>
    <row r="20" spans="2:7" s="11" customFormat="1" ht="43.5" x14ac:dyDescent="0.35">
      <c r="B20" s="71">
        <v>5</v>
      </c>
      <c r="C20" s="52" t="s">
        <v>21</v>
      </c>
      <c r="D20" s="79" t="s">
        <v>358</v>
      </c>
      <c r="E20" s="79" t="s">
        <v>360</v>
      </c>
      <c r="F20" s="79"/>
      <c r="G20" s="9"/>
    </row>
    <row r="21" spans="2:7" s="11" customFormat="1" ht="15.5" x14ac:dyDescent="0.35">
      <c r="B21" s="71"/>
      <c r="C21" s="52" t="s">
        <v>22</v>
      </c>
      <c r="D21" s="79"/>
      <c r="E21" s="79"/>
      <c r="F21" s="105"/>
      <c r="G21" s="9"/>
    </row>
    <row r="22" spans="2:7" s="11" customFormat="1" ht="29" x14ac:dyDescent="0.35">
      <c r="B22" s="71">
        <v>7</v>
      </c>
      <c r="C22" s="52" t="s">
        <v>23</v>
      </c>
      <c r="D22" s="79"/>
      <c r="E22" s="79" t="s">
        <v>361</v>
      </c>
      <c r="F22" s="95" t="s">
        <v>377</v>
      </c>
      <c r="G22" s="9"/>
    </row>
    <row r="23" spans="2:7" s="11" customFormat="1" ht="29" x14ac:dyDescent="0.35">
      <c r="B23" s="71">
        <v>8</v>
      </c>
      <c r="C23" s="52" t="s">
        <v>24</v>
      </c>
      <c r="D23" s="79"/>
      <c r="E23" s="79" t="s">
        <v>362</v>
      </c>
      <c r="F23" s="95" t="s">
        <v>377</v>
      </c>
      <c r="G23" s="9"/>
    </row>
    <row r="24" spans="2:7" s="11" customFormat="1" ht="29" x14ac:dyDescent="0.35">
      <c r="B24" s="71"/>
      <c r="C24" s="72" t="s">
        <v>25</v>
      </c>
      <c r="D24" s="79"/>
      <c r="E24" s="79" t="s">
        <v>362</v>
      </c>
      <c r="F24" s="95" t="s">
        <v>377</v>
      </c>
      <c r="G24" s="9"/>
    </row>
    <row r="25" spans="2:7" s="11" customFormat="1" ht="29" x14ac:dyDescent="0.35">
      <c r="B25" s="71"/>
      <c r="C25" s="72" t="s">
        <v>26</v>
      </c>
      <c r="D25" s="79"/>
      <c r="E25" s="79" t="s">
        <v>363</v>
      </c>
      <c r="F25" s="95" t="s">
        <v>377</v>
      </c>
      <c r="G25" s="9"/>
    </row>
    <row r="26" spans="2:7" s="11" customFormat="1" ht="29" x14ac:dyDescent="0.35">
      <c r="B26" s="71">
        <v>9</v>
      </c>
      <c r="C26" s="52" t="s">
        <v>27</v>
      </c>
      <c r="D26" s="79"/>
      <c r="E26" s="79" t="s">
        <v>364</v>
      </c>
      <c r="F26" s="95" t="s">
        <v>377</v>
      </c>
      <c r="G26" s="9"/>
    </row>
    <row r="27" spans="2:7" ht="18.5" x14ac:dyDescent="0.35">
      <c r="C27" s="54"/>
      <c r="D27" s="89"/>
      <c r="E27" s="84"/>
    </row>
    <row r="28" spans="2:7" x14ac:dyDescent="0.35">
      <c r="B28" s="43"/>
      <c r="C28" s="46"/>
      <c r="D28" s="92" t="s">
        <v>10</v>
      </c>
      <c r="E28" s="82" t="s">
        <v>11</v>
      </c>
      <c r="F28" s="82" t="s">
        <v>12</v>
      </c>
      <c r="G28" s="45" t="s">
        <v>13</v>
      </c>
    </row>
    <row r="29" spans="2:7" ht="18.5" x14ac:dyDescent="0.45">
      <c r="B29" s="51">
        <v>3.2</v>
      </c>
      <c r="C29" s="65" t="s">
        <v>28</v>
      </c>
      <c r="D29" s="8"/>
      <c r="E29" s="79"/>
      <c r="F29" s="83"/>
      <c r="G29" s="2"/>
    </row>
    <row r="30" spans="2:7" ht="15.5" x14ac:dyDescent="0.35">
      <c r="B30" s="70">
        <v>1</v>
      </c>
      <c r="C30" s="47" t="s">
        <v>29</v>
      </c>
      <c r="D30" s="79"/>
      <c r="E30" s="79" t="s">
        <v>365</v>
      </c>
      <c r="F30" s="95" t="s">
        <v>377</v>
      </c>
      <c r="G30" s="2"/>
    </row>
    <row r="31" spans="2:7" ht="18.5" x14ac:dyDescent="0.35">
      <c r="B31" s="12"/>
      <c r="C31" s="52" t="s">
        <v>30</v>
      </c>
      <c r="D31" s="88"/>
      <c r="E31" s="79"/>
      <c r="F31" s="79"/>
      <c r="G31" s="9"/>
    </row>
    <row r="32" spans="2:7" ht="18.5" x14ac:dyDescent="0.35">
      <c r="B32" s="12"/>
      <c r="C32" s="52" t="s">
        <v>31</v>
      </c>
      <c r="D32" s="88"/>
      <c r="E32" s="79"/>
      <c r="F32" s="79"/>
      <c r="G32" s="9"/>
    </row>
    <row r="33" spans="2:7" ht="18.5" x14ac:dyDescent="0.35">
      <c r="B33" s="12"/>
      <c r="C33" s="52" t="s">
        <v>32</v>
      </c>
      <c r="D33" s="88"/>
      <c r="E33" s="79"/>
      <c r="F33" s="79"/>
      <c r="G33" s="9"/>
    </row>
    <row r="34" spans="2:7" ht="18.5" x14ac:dyDescent="0.35">
      <c r="B34" s="12"/>
      <c r="C34" s="52" t="s">
        <v>33</v>
      </c>
      <c r="D34" s="88"/>
      <c r="E34" s="79"/>
      <c r="F34" s="79"/>
      <c r="G34" s="9"/>
    </row>
    <row r="35" spans="2:7" ht="15.5" x14ac:dyDescent="0.35">
      <c r="B35" s="12">
        <v>2</v>
      </c>
      <c r="C35" s="52" t="s">
        <v>34</v>
      </c>
      <c r="D35" s="79"/>
      <c r="E35" s="79"/>
      <c r="F35" s="79"/>
      <c r="G35" s="9"/>
    </row>
    <row r="36" spans="2:7" ht="18.5" x14ac:dyDescent="0.35">
      <c r="B36" s="12"/>
      <c r="C36" s="52" t="s">
        <v>35</v>
      </c>
      <c r="D36" s="88"/>
      <c r="E36" s="79"/>
      <c r="F36" s="79"/>
      <c r="G36" s="9"/>
    </row>
    <row r="37" spans="2:7" ht="18.5" x14ac:dyDescent="0.35">
      <c r="B37" s="12"/>
      <c r="C37" s="52" t="s">
        <v>36</v>
      </c>
      <c r="D37" s="88"/>
      <c r="E37" s="79"/>
      <c r="F37" s="79"/>
      <c r="G37" s="9"/>
    </row>
    <row r="38" spans="2:7" ht="18.5" x14ac:dyDescent="0.35">
      <c r="B38" s="12"/>
      <c r="C38" s="52" t="s">
        <v>37</v>
      </c>
      <c r="D38" s="88"/>
      <c r="E38" s="79"/>
      <c r="F38" s="79"/>
      <c r="G38" s="9"/>
    </row>
    <row r="39" spans="2:7" ht="18.5" x14ac:dyDescent="0.35">
      <c r="B39" s="12"/>
      <c r="C39" s="52" t="s">
        <v>38</v>
      </c>
      <c r="D39" s="88"/>
      <c r="E39" s="79"/>
      <c r="F39" s="79"/>
      <c r="G39" s="9"/>
    </row>
    <row r="40" spans="2:7" ht="18.5" x14ac:dyDescent="0.35">
      <c r="B40" s="12"/>
      <c r="C40" s="53" t="s">
        <v>39</v>
      </c>
      <c r="D40" s="88"/>
      <c r="E40" s="79"/>
      <c r="F40" s="79"/>
      <c r="G40" s="9"/>
    </row>
    <row r="41" spans="2:7" ht="18.5" x14ac:dyDescent="0.35">
      <c r="B41" s="12"/>
      <c r="C41" s="55"/>
      <c r="D41" s="88"/>
      <c r="E41" s="79"/>
      <c r="F41" s="83"/>
      <c r="G41" s="2"/>
    </row>
    <row r="42" spans="2:7" ht="18.5" x14ac:dyDescent="0.35">
      <c r="B42" s="20"/>
      <c r="C42" s="54"/>
      <c r="D42" s="89"/>
      <c r="E42" s="84"/>
    </row>
    <row r="43" spans="2:7" x14ac:dyDescent="0.35">
      <c r="B43" s="43"/>
      <c r="C43" s="44"/>
      <c r="D43" s="92" t="s">
        <v>10</v>
      </c>
      <c r="E43" s="82" t="s">
        <v>11</v>
      </c>
      <c r="F43" s="82" t="s">
        <v>12</v>
      </c>
      <c r="G43" s="45" t="s">
        <v>13</v>
      </c>
    </row>
    <row r="44" spans="2:7" ht="18.5" x14ac:dyDescent="0.45">
      <c r="B44" s="51">
        <v>3.3</v>
      </c>
      <c r="C44" s="65" t="s">
        <v>40</v>
      </c>
      <c r="D44" s="8"/>
      <c r="E44" s="79"/>
      <c r="F44" s="83"/>
      <c r="G44" s="2"/>
    </row>
    <row r="45" spans="2:7" ht="18.5" x14ac:dyDescent="0.35">
      <c r="B45" s="70">
        <v>1</v>
      </c>
      <c r="C45" s="47" t="s">
        <v>41</v>
      </c>
      <c r="D45" s="88"/>
      <c r="E45" s="79" t="s">
        <v>371</v>
      </c>
      <c r="F45" s="83"/>
      <c r="G45" s="9"/>
    </row>
    <row r="46" spans="2:7" ht="18.5" x14ac:dyDescent="0.35">
      <c r="B46" s="71">
        <v>2</v>
      </c>
      <c r="C46" s="56" t="s">
        <v>42</v>
      </c>
      <c r="D46" s="88"/>
      <c r="E46" s="79"/>
      <c r="F46" s="95" t="s">
        <v>377</v>
      </c>
      <c r="G46" s="2"/>
    </row>
    <row r="47" spans="2:7" ht="18.5" x14ac:dyDescent="0.35">
      <c r="B47" s="71">
        <v>3</v>
      </c>
      <c r="C47" s="56" t="s">
        <v>43</v>
      </c>
      <c r="D47" s="88"/>
      <c r="E47" s="79"/>
      <c r="F47" s="83"/>
      <c r="G47" s="2"/>
    </row>
    <row r="48" spans="2:7" ht="18.5" x14ac:dyDescent="0.35">
      <c r="B48" s="71">
        <v>4</v>
      </c>
      <c r="C48" s="56" t="s">
        <v>44</v>
      </c>
      <c r="D48" s="88"/>
      <c r="E48" s="79"/>
      <c r="F48" s="83"/>
      <c r="G48" s="2"/>
    </row>
    <row r="49" spans="2:7" ht="87" x14ac:dyDescent="0.35">
      <c r="B49" s="71">
        <v>6</v>
      </c>
      <c r="C49" s="56" t="s">
        <v>45</v>
      </c>
      <c r="D49" s="88"/>
      <c r="E49" s="79" t="s">
        <v>366</v>
      </c>
      <c r="F49" s="79" t="s">
        <v>372</v>
      </c>
      <c r="G49" s="2"/>
    </row>
    <row r="50" spans="2:7" ht="18.5" x14ac:dyDescent="0.35">
      <c r="B50" s="71">
        <v>7</v>
      </c>
      <c r="C50" s="56" t="s">
        <v>46</v>
      </c>
      <c r="D50" s="88"/>
      <c r="E50" s="79"/>
      <c r="F50" s="83"/>
      <c r="G50" s="2"/>
    </row>
    <row r="51" spans="2:7" ht="26.25" customHeight="1" x14ac:dyDescent="0.35">
      <c r="B51" s="100"/>
      <c r="C51" s="114"/>
      <c r="D51" s="97"/>
      <c r="E51" s="121" t="s">
        <v>410</v>
      </c>
      <c r="F51" s="102"/>
      <c r="G51" s="43"/>
    </row>
    <row r="52" spans="2:7" ht="26.25" customHeight="1" x14ac:dyDescent="0.35">
      <c r="B52" s="100"/>
      <c r="C52" s="114"/>
      <c r="D52" s="97"/>
      <c r="E52" s="122"/>
      <c r="F52" s="102"/>
      <c r="G52" s="43"/>
    </row>
    <row r="53" spans="2:7" ht="18.5" x14ac:dyDescent="0.35">
      <c r="B53" s="71">
        <v>8</v>
      </c>
      <c r="C53" s="56" t="s">
        <v>47</v>
      </c>
      <c r="D53" s="88"/>
      <c r="E53" s="79"/>
      <c r="F53" s="83"/>
      <c r="G53" s="2"/>
    </row>
    <row r="54" spans="2:7" ht="27.75" customHeight="1" x14ac:dyDescent="0.35">
      <c r="B54" s="100"/>
      <c r="C54" s="115"/>
      <c r="D54" s="97"/>
      <c r="E54" s="121" t="s">
        <v>411</v>
      </c>
      <c r="F54" s="102"/>
      <c r="G54" s="43"/>
    </row>
    <row r="55" spans="2:7" ht="27.75" customHeight="1" x14ac:dyDescent="0.35">
      <c r="B55" s="100"/>
      <c r="C55" s="116"/>
      <c r="D55" s="97"/>
      <c r="E55" s="122"/>
      <c r="F55" s="102"/>
      <c r="G55" s="43"/>
    </row>
    <row r="56" spans="2:7" ht="18.5" x14ac:dyDescent="0.35">
      <c r="B56" s="71">
        <v>9</v>
      </c>
      <c r="C56" s="56" t="s">
        <v>48</v>
      </c>
      <c r="D56" s="88"/>
      <c r="E56" s="79"/>
      <c r="F56" s="83"/>
      <c r="G56" s="2"/>
    </row>
    <row r="57" spans="2:7" ht="18.5" x14ac:dyDescent="0.35">
      <c r="B57" s="100"/>
      <c r="C57" s="117"/>
      <c r="D57" s="97"/>
      <c r="E57" s="121" t="s">
        <v>412</v>
      </c>
      <c r="F57" s="102"/>
      <c r="G57" s="43"/>
    </row>
    <row r="58" spans="2:7" ht="18.5" x14ac:dyDescent="0.35">
      <c r="B58" s="100"/>
      <c r="C58" s="118"/>
      <c r="D58" s="97"/>
      <c r="E58" s="123"/>
      <c r="F58" s="102"/>
      <c r="G58" s="43"/>
    </row>
    <row r="59" spans="2:7" ht="18.5" x14ac:dyDescent="0.35">
      <c r="B59" s="100"/>
      <c r="C59" s="119"/>
      <c r="D59" s="97"/>
      <c r="E59" s="122"/>
      <c r="F59" s="102"/>
      <c r="G59" s="43"/>
    </row>
    <row r="60" spans="2:7" ht="18.5" x14ac:dyDescent="0.35">
      <c r="B60" s="71">
        <v>10</v>
      </c>
      <c r="C60" s="56" t="s">
        <v>49</v>
      </c>
      <c r="D60" s="88"/>
      <c r="E60" s="79"/>
      <c r="F60" s="83"/>
      <c r="G60" s="2"/>
    </row>
    <row r="61" spans="2:7" ht="18.5" x14ac:dyDescent="0.35">
      <c r="B61" s="100"/>
      <c r="C61" s="115"/>
      <c r="D61" s="97"/>
      <c r="E61" s="121" t="s">
        <v>413</v>
      </c>
      <c r="F61" s="102"/>
      <c r="G61" s="43"/>
    </row>
    <row r="62" spans="2:7" ht="18.5" x14ac:dyDescent="0.35">
      <c r="B62" s="100"/>
      <c r="C62" s="120"/>
      <c r="D62" s="97"/>
      <c r="E62" s="123"/>
      <c r="F62" s="102"/>
      <c r="G62" s="43"/>
    </row>
    <row r="63" spans="2:7" ht="18.5" x14ac:dyDescent="0.35">
      <c r="B63" s="100"/>
      <c r="C63" s="116"/>
      <c r="D63" s="97"/>
      <c r="E63" s="122"/>
      <c r="F63" s="102"/>
      <c r="G63" s="43"/>
    </row>
    <row r="64" spans="2:7" ht="18.5" x14ac:dyDescent="0.35">
      <c r="B64" s="20"/>
      <c r="C64" s="54"/>
      <c r="D64" s="89"/>
      <c r="E64" s="84"/>
    </row>
    <row r="65" spans="2:7" x14ac:dyDescent="0.35">
      <c r="B65" s="43"/>
      <c r="C65" s="44"/>
      <c r="D65" s="92" t="s">
        <v>10</v>
      </c>
      <c r="E65" s="82" t="s">
        <v>11</v>
      </c>
      <c r="F65" s="85" t="s">
        <v>12</v>
      </c>
      <c r="G65" s="45" t="s">
        <v>13</v>
      </c>
    </row>
    <row r="66" spans="2:7" ht="49.5" customHeight="1" x14ac:dyDescent="0.35">
      <c r="B66" s="51">
        <v>3.4</v>
      </c>
      <c r="C66" s="76" t="s">
        <v>50</v>
      </c>
      <c r="D66" s="8" t="s">
        <v>368</v>
      </c>
      <c r="E66" s="79" t="s">
        <v>373</v>
      </c>
      <c r="F66" s="79"/>
      <c r="G66" s="2"/>
    </row>
    <row r="67" spans="2:7" ht="15.5" x14ac:dyDescent="0.35">
      <c r="B67" s="71">
        <v>1</v>
      </c>
      <c r="C67" s="61" t="s">
        <v>51</v>
      </c>
      <c r="D67" s="83"/>
      <c r="E67" s="83"/>
      <c r="F67" s="83"/>
      <c r="G67" s="2"/>
    </row>
    <row r="68" spans="2:7" ht="15.5" x14ac:dyDescent="0.35">
      <c r="B68" s="71">
        <v>2</v>
      </c>
      <c r="C68" s="61" t="s">
        <v>52</v>
      </c>
      <c r="D68" s="83"/>
      <c r="E68" s="83"/>
      <c r="F68" s="83"/>
      <c r="G68" s="2"/>
    </row>
    <row r="69" spans="2:7" ht="15.5" x14ac:dyDescent="0.35">
      <c r="B69" s="78">
        <v>3</v>
      </c>
      <c r="C69" s="75" t="s">
        <v>53</v>
      </c>
      <c r="D69" s="83"/>
      <c r="E69" s="83"/>
      <c r="F69" s="83"/>
      <c r="G69" s="2"/>
    </row>
    <row r="70" spans="2:7" ht="15.5" x14ac:dyDescent="0.35">
      <c r="B70" s="78">
        <v>4</v>
      </c>
      <c r="C70" s="75" t="s">
        <v>54</v>
      </c>
      <c r="D70" s="83"/>
      <c r="E70" s="83"/>
      <c r="F70" s="83"/>
      <c r="G70" s="2"/>
    </row>
    <row r="71" spans="2:7" ht="15.5" x14ac:dyDescent="0.35">
      <c r="B71" s="71">
        <v>5</v>
      </c>
      <c r="C71" s="61" t="s">
        <v>55</v>
      </c>
      <c r="D71" s="83"/>
      <c r="E71" s="83"/>
      <c r="F71" s="83"/>
      <c r="G71" s="2"/>
    </row>
    <row r="72" spans="2:7" ht="18.5" x14ac:dyDescent="0.35">
      <c r="B72" s="71"/>
      <c r="C72" s="56"/>
      <c r="D72" s="88"/>
      <c r="E72" s="79"/>
      <c r="F72" s="83"/>
      <c r="G72" s="2"/>
    </row>
    <row r="74" spans="2:7" x14ac:dyDescent="0.35">
      <c r="B74" s="43"/>
      <c r="C74" s="44"/>
      <c r="D74" s="92" t="s">
        <v>10</v>
      </c>
      <c r="E74" s="82" t="s">
        <v>11</v>
      </c>
      <c r="F74" s="82" t="s">
        <v>12</v>
      </c>
      <c r="G74" s="45" t="s">
        <v>13</v>
      </c>
    </row>
    <row r="75" spans="2:7" ht="18.5" x14ac:dyDescent="0.45">
      <c r="B75" s="51">
        <v>3.5</v>
      </c>
      <c r="C75" s="77" t="s">
        <v>56</v>
      </c>
      <c r="D75" s="8"/>
      <c r="E75" s="79"/>
      <c r="F75" s="83"/>
      <c r="G75" s="2"/>
    </row>
    <row r="76" spans="2:7" ht="18.5" x14ac:dyDescent="0.35">
      <c r="B76" s="71">
        <v>1</v>
      </c>
      <c r="C76" s="56" t="s">
        <v>57</v>
      </c>
      <c r="D76" s="88"/>
      <c r="E76" s="79" t="s">
        <v>374</v>
      </c>
      <c r="F76" s="83"/>
      <c r="G76" s="9"/>
    </row>
    <row r="77" spans="2:7" ht="18.5" x14ac:dyDescent="0.35">
      <c r="B77" s="71">
        <v>2</v>
      </c>
      <c r="C77" s="56" t="s">
        <v>58</v>
      </c>
      <c r="D77" s="88"/>
      <c r="E77" s="79"/>
      <c r="F77" s="83"/>
      <c r="G77" s="9"/>
    </row>
    <row r="78" spans="2:7" ht="18.5" x14ac:dyDescent="0.35">
      <c r="B78" s="78"/>
      <c r="C78" s="61" t="s">
        <v>59</v>
      </c>
      <c r="D78" s="88" t="s">
        <v>368</v>
      </c>
      <c r="E78" s="79"/>
      <c r="F78" s="83"/>
      <c r="G78" s="9"/>
    </row>
    <row r="79" spans="2:7" ht="18.5" x14ac:dyDescent="0.35">
      <c r="B79" s="71"/>
      <c r="C79" s="63" t="s">
        <v>60</v>
      </c>
      <c r="D79" s="88"/>
      <c r="E79" s="79" t="s">
        <v>375</v>
      </c>
      <c r="F79" s="83"/>
      <c r="G79" s="2"/>
    </row>
    <row r="80" spans="2:7" ht="29" x14ac:dyDescent="0.35">
      <c r="B80" s="71"/>
      <c r="C80" s="63" t="s">
        <v>61</v>
      </c>
      <c r="D80" s="88"/>
      <c r="E80" s="79" t="s">
        <v>376</v>
      </c>
      <c r="F80" s="95" t="s">
        <v>377</v>
      </c>
      <c r="G80" s="2"/>
    </row>
    <row r="81" spans="2:7" ht="18.5" x14ac:dyDescent="0.35">
      <c r="B81" s="71">
        <v>3</v>
      </c>
      <c r="C81" s="55" t="s">
        <v>62</v>
      </c>
      <c r="D81" s="88" t="s">
        <v>358</v>
      </c>
      <c r="E81" s="79" t="s">
        <v>378</v>
      </c>
      <c r="F81" s="83"/>
      <c r="G81" s="2"/>
    </row>
    <row r="82" spans="2:7" ht="18.5" x14ac:dyDescent="0.35">
      <c r="B82" s="20"/>
      <c r="C82" s="58"/>
      <c r="D82" s="89"/>
      <c r="E82" s="84"/>
    </row>
    <row r="83" spans="2:7" x14ac:dyDescent="0.35">
      <c r="B83" s="43"/>
      <c r="C83" s="44"/>
      <c r="D83" s="92" t="s">
        <v>10</v>
      </c>
      <c r="E83" s="82" t="s">
        <v>11</v>
      </c>
      <c r="F83" s="82" t="s">
        <v>12</v>
      </c>
      <c r="G83" s="45" t="s">
        <v>13</v>
      </c>
    </row>
    <row r="84" spans="2:7" ht="18.5" x14ac:dyDescent="0.45">
      <c r="B84" s="66">
        <v>3.6</v>
      </c>
      <c r="C84" s="65" t="s">
        <v>63</v>
      </c>
      <c r="D84" s="8"/>
      <c r="E84" s="79"/>
      <c r="F84" s="83"/>
      <c r="G84" s="2"/>
    </row>
    <row r="85" spans="2:7" ht="15.5" x14ac:dyDescent="0.35">
      <c r="B85" s="71">
        <v>1</v>
      </c>
      <c r="C85" s="68" t="s">
        <v>64</v>
      </c>
      <c r="D85" s="79" t="s">
        <v>358</v>
      </c>
      <c r="E85" s="79" t="s">
        <v>379</v>
      </c>
      <c r="F85" s="105"/>
      <c r="G85" s="2"/>
    </row>
    <row r="86" spans="2:7" ht="18.5" x14ac:dyDescent="0.35">
      <c r="B86" s="71">
        <v>2</v>
      </c>
      <c r="C86" s="68" t="s">
        <v>65</v>
      </c>
      <c r="D86" s="88"/>
      <c r="E86" s="79" t="s">
        <v>380</v>
      </c>
      <c r="F86" s="83"/>
      <c r="G86" s="2"/>
    </row>
    <row r="87" spans="2:7" ht="18.5" x14ac:dyDescent="0.35">
      <c r="B87" s="71">
        <v>3</v>
      </c>
      <c r="C87" s="68" t="s">
        <v>66</v>
      </c>
      <c r="D87" s="88" t="s">
        <v>358</v>
      </c>
      <c r="E87" s="79" t="s">
        <v>379</v>
      </c>
      <c r="F87" s="83"/>
      <c r="G87" s="2"/>
    </row>
    <row r="88" spans="2:7" ht="18.5" x14ac:dyDescent="0.35">
      <c r="B88" s="71">
        <v>4</v>
      </c>
      <c r="C88" s="68" t="s">
        <v>67</v>
      </c>
      <c r="D88" s="88"/>
      <c r="E88" s="79"/>
      <c r="F88" s="83"/>
      <c r="G88" s="2"/>
    </row>
    <row r="89" spans="2:7" ht="18.5" x14ac:dyDescent="0.35">
      <c r="B89" s="71">
        <v>5</v>
      </c>
      <c r="C89" s="68" t="s">
        <v>68</v>
      </c>
      <c r="D89" s="88" t="s">
        <v>368</v>
      </c>
      <c r="E89" s="79"/>
      <c r="F89" s="83"/>
      <c r="G89" s="2"/>
    </row>
    <row r="90" spans="2:7" ht="15.5" x14ac:dyDescent="0.35">
      <c r="B90" s="71">
        <v>6</v>
      </c>
      <c r="C90" s="68" t="s">
        <v>69</v>
      </c>
      <c r="D90" s="96"/>
      <c r="E90" s="79" t="s">
        <v>379</v>
      </c>
      <c r="F90" s="83"/>
      <c r="G90" s="2"/>
    </row>
    <row r="91" spans="2:7" ht="18.5" x14ac:dyDescent="0.35">
      <c r="B91" s="71">
        <v>7</v>
      </c>
      <c r="C91" s="68" t="s">
        <v>70</v>
      </c>
      <c r="D91" s="88" t="s">
        <v>358</v>
      </c>
      <c r="E91" s="79" t="s">
        <v>379</v>
      </c>
      <c r="F91" s="83"/>
      <c r="G91" s="2"/>
    </row>
    <row r="92" spans="2:7" ht="18.5" x14ac:dyDescent="0.35">
      <c r="B92" s="71">
        <v>8</v>
      </c>
      <c r="C92" s="68" t="s">
        <v>71</v>
      </c>
      <c r="D92" s="88"/>
      <c r="E92" s="79"/>
      <c r="F92" s="83"/>
      <c r="G92" s="2"/>
    </row>
    <row r="93" spans="2:7" ht="18.5" x14ac:dyDescent="0.35">
      <c r="B93" s="12">
        <v>9</v>
      </c>
      <c r="C93" s="56" t="s">
        <v>72</v>
      </c>
      <c r="D93" s="88"/>
      <c r="E93" s="79" t="s">
        <v>381</v>
      </c>
      <c r="F93" s="83"/>
      <c r="G93" s="9"/>
    </row>
    <row r="94" spans="2:7" ht="18.5" x14ac:dyDescent="0.35">
      <c r="B94" s="20"/>
      <c r="C94" s="58"/>
      <c r="D94" s="89"/>
      <c r="E94" s="84"/>
    </row>
    <row r="95" spans="2:7" x14ac:dyDescent="0.35">
      <c r="B95" s="43"/>
      <c r="C95" s="44"/>
      <c r="D95" s="92" t="s">
        <v>10</v>
      </c>
      <c r="E95" s="82" t="s">
        <v>11</v>
      </c>
      <c r="F95" s="82" t="s">
        <v>12</v>
      </c>
      <c r="G95" s="45" t="s">
        <v>13</v>
      </c>
    </row>
    <row r="96" spans="2:7" ht="18.5" x14ac:dyDescent="0.45">
      <c r="B96" s="51">
        <v>3.7</v>
      </c>
      <c r="C96" s="65" t="s">
        <v>73</v>
      </c>
      <c r="D96" s="8"/>
      <c r="E96" s="79"/>
      <c r="F96" s="83"/>
      <c r="G96" s="2"/>
    </row>
    <row r="97" spans="2:7" ht="29" x14ac:dyDescent="0.35">
      <c r="B97" s="12">
        <v>1</v>
      </c>
      <c r="C97" s="67" t="s">
        <v>74</v>
      </c>
      <c r="D97" s="8" t="s">
        <v>358</v>
      </c>
      <c r="E97" s="79" t="s">
        <v>382</v>
      </c>
      <c r="F97" s="112" t="s">
        <v>383</v>
      </c>
      <c r="G97" s="9"/>
    </row>
    <row r="98" spans="2:7" ht="15.5" x14ac:dyDescent="0.35">
      <c r="B98" s="12"/>
      <c r="C98" s="61" t="s">
        <v>75</v>
      </c>
      <c r="D98" s="96"/>
      <c r="E98" s="79"/>
      <c r="F98" s="105"/>
      <c r="G98" s="2"/>
    </row>
    <row r="99" spans="2:7" ht="29" x14ac:dyDescent="0.35">
      <c r="B99" s="12"/>
      <c r="C99" s="61" t="s">
        <v>76</v>
      </c>
      <c r="D99" s="96" t="s">
        <v>358</v>
      </c>
      <c r="E99" s="79" t="s">
        <v>382</v>
      </c>
      <c r="F99" s="112" t="s">
        <v>383</v>
      </c>
      <c r="G99" s="2"/>
    </row>
    <row r="100" spans="2:7" ht="18.5" x14ac:dyDescent="0.35">
      <c r="B100" s="31"/>
      <c r="C100" s="61" t="s">
        <v>77</v>
      </c>
      <c r="D100" s="88"/>
      <c r="E100" s="80"/>
      <c r="F100" s="83"/>
      <c r="G100" s="2"/>
    </row>
    <row r="101" spans="2:7" ht="18.5" x14ac:dyDescent="0.35">
      <c r="B101" s="12"/>
      <c r="C101" s="56"/>
      <c r="D101" s="88"/>
      <c r="E101" s="79"/>
      <c r="F101" s="83"/>
      <c r="G101" s="2"/>
    </row>
    <row r="103" spans="2:7" x14ac:dyDescent="0.35">
      <c r="B103" s="43"/>
      <c r="C103" s="44"/>
      <c r="D103" s="92" t="s">
        <v>10</v>
      </c>
      <c r="E103" s="82" t="s">
        <v>11</v>
      </c>
      <c r="F103" s="82" t="s">
        <v>12</v>
      </c>
      <c r="G103" s="45" t="s">
        <v>13</v>
      </c>
    </row>
    <row r="104" spans="2:7" ht="18.5" x14ac:dyDescent="0.45">
      <c r="B104" s="51">
        <v>3.8</v>
      </c>
      <c r="C104" s="65" t="s">
        <v>78</v>
      </c>
      <c r="D104" s="8"/>
      <c r="E104" s="79"/>
      <c r="F104" s="83"/>
      <c r="G104" s="2"/>
    </row>
    <row r="105" spans="2:7" ht="18.5" x14ac:dyDescent="0.35">
      <c r="B105" s="12">
        <v>1</v>
      </c>
      <c r="C105" s="67" t="s">
        <v>79</v>
      </c>
      <c r="D105" s="97"/>
      <c r="E105" s="79"/>
      <c r="F105" s="83"/>
      <c r="G105" s="9"/>
    </row>
    <row r="106" spans="2:7" ht="15.5" x14ac:dyDescent="0.35">
      <c r="B106" s="12"/>
      <c r="C106" s="61" t="s">
        <v>80</v>
      </c>
      <c r="D106" s="96" t="s">
        <v>358</v>
      </c>
      <c r="E106" s="79" t="s">
        <v>385</v>
      </c>
      <c r="F106" s="105"/>
      <c r="G106" s="2"/>
    </row>
    <row r="107" spans="2:7" ht="29" x14ac:dyDescent="0.35">
      <c r="B107" s="12"/>
      <c r="C107" s="61" t="s">
        <v>81</v>
      </c>
      <c r="D107" s="96" t="s">
        <v>358</v>
      </c>
      <c r="E107" s="79" t="s">
        <v>384</v>
      </c>
      <c r="F107" s="95" t="s">
        <v>377</v>
      </c>
      <c r="G107" s="2"/>
    </row>
    <row r="108" spans="2:7" ht="18.5" x14ac:dyDescent="0.35">
      <c r="B108" s="12"/>
      <c r="C108" s="61" t="s">
        <v>82</v>
      </c>
      <c r="D108" s="88"/>
      <c r="E108" s="79"/>
      <c r="F108" s="83"/>
      <c r="G108" s="2"/>
    </row>
    <row r="109" spans="2:7" ht="15.5" x14ac:dyDescent="0.35">
      <c r="B109" s="31"/>
      <c r="C109" s="61" t="s">
        <v>83</v>
      </c>
      <c r="D109" s="96"/>
      <c r="E109" s="80"/>
      <c r="F109" s="83"/>
      <c r="G109" s="2"/>
    </row>
    <row r="110" spans="2:7" ht="15.75" customHeight="1" x14ac:dyDescent="0.35">
      <c r="B110" s="12"/>
      <c r="C110" s="56"/>
      <c r="D110" s="88"/>
      <c r="E110" s="79"/>
      <c r="F110" s="83"/>
      <c r="G110" s="2"/>
    </row>
    <row r="112" spans="2:7" x14ac:dyDescent="0.35">
      <c r="B112" s="43"/>
      <c r="C112" s="44"/>
      <c r="D112" s="92" t="s">
        <v>10</v>
      </c>
      <c r="E112" s="82" t="s">
        <v>11</v>
      </c>
      <c r="F112" s="82" t="s">
        <v>12</v>
      </c>
      <c r="G112" s="45" t="s">
        <v>13</v>
      </c>
    </row>
    <row r="113" spans="2:7" ht="18.5" x14ac:dyDescent="0.45">
      <c r="B113" s="51">
        <v>3.9</v>
      </c>
      <c r="C113" s="65" t="s">
        <v>84</v>
      </c>
      <c r="D113" s="8"/>
      <c r="E113" s="79"/>
      <c r="F113" s="83"/>
      <c r="G113" s="2"/>
    </row>
    <row r="114" spans="2:7" ht="15.5" x14ac:dyDescent="0.35">
      <c r="B114" s="12">
        <v>1</v>
      </c>
      <c r="C114" s="56" t="s">
        <v>85</v>
      </c>
      <c r="D114" s="96" t="s">
        <v>358</v>
      </c>
      <c r="E114" s="79" t="s">
        <v>369</v>
      </c>
      <c r="F114" s="83"/>
      <c r="G114" s="9"/>
    </row>
    <row r="115" spans="2:7" ht="15.5" x14ac:dyDescent="0.35">
      <c r="B115" s="12"/>
      <c r="C115" s="56" t="s">
        <v>86</v>
      </c>
      <c r="D115" s="96"/>
      <c r="E115" s="79"/>
      <c r="F115" s="83"/>
      <c r="G115" s="9"/>
    </row>
    <row r="116" spans="2:7" ht="15.5" x14ac:dyDescent="0.35">
      <c r="B116" s="12"/>
      <c r="C116" s="56" t="s">
        <v>87</v>
      </c>
      <c r="D116" s="96" t="s">
        <v>358</v>
      </c>
      <c r="E116" s="79" t="s">
        <v>369</v>
      </c>
      <c r="F116" s="83"/>
      <c r="G116" s="9"/>
    </row>
    <row r="117" spans="2:7" ht="15.5" x14ac:dyDescent="0.35">
      <c r="B117" s="12">
        <v>2</v>
      </c>
      <c r="C117" s="56" t="s">
        <v>88</v>
      </c>
      <c r="D117" s="96"/>
      <c r="E117" s="79" t="s">
        <v>386</v>
      </c>
      <c r="F117" s="83"/>
      <c r="G117" s="2"/>
    </row>
    <row r="118" spans="2:7" ht="18.5" x14ac:dyDescent="0.35">
      <c r="B118" s="12"/>
      <c r="C118" s="56"/>
      <c r="D118" s="88"/>
      <c r="E118" s="79"/>
      <c r="F118" s="83"/>
      <c r="G118" s="2"/>
    </row>
    <row r="120" spans="2:7" x14ac:dyDescent="0.35">
      <c r="B120" s="1"/>
    </row>
    <row r="121" spans="2:7" x14ac:dyDescent="0.35">
      <c r="B121" s="43"/>
      <c r="C121" s="44"/>
      <c r="D121" s="92" t="s">
        <v>10</v>
      </c>
      <c r="E121" s="82" t="s">
        <v>11</v>
      </c>
      <c r="F121" s="82" t="s">
        <v>12</v>
      </c>
      <c r="G121" s="45" t="s">
        <v>13</v>
      </c>
    </row>
    <row r="122" spans="2:7" ht="18.5" x14ac:dyDescent="0.45">
      <c r="B122" s="59">
        <v>3.1</v>
      </c>
      <c r="C122" s="65" t="s">
        <v>89</v>
      </c>
      <c r="D122" s="8"/>
      <c r="E122" s="79"/>
      <c r="F122" s="83"/>
      <c r="G122" s="2"/>
    </row>
    <row r="123" spans="2:7" ht="15.5" x14ac:dyDescent="0.35">
      <c r="B123" s="12">
        <v>1</v>
      </c>
      <c r="C123" s="56" t="s">
        <v>90</v>
      </c>
      <c r="D123" s="96"/>
      <c r="E123" s="79"/>
      <c r="F123" s="83"/>
      <c r="G123" s="9"/>
    </row>
    <row r="124" spans="2:7" ht="15.5" x14ac:dyDescent="0.35">
      <c r="B124" s="12"/>
      <c r="C124" s="61" t="s">
        <v>91</v>
      </c>
      <c r="D124" s="96"/>
      <c r="E124" s="79" t="s">
        <v>370</v>
      </c>
      <c r="F124" s="83"/>
      <c r="G124" s="9"/>
    </row>
    <row r="125" spans="2:7" ht="15.5" x14ac:dyDescent="0.35">
      <c r="B125" s="12"/>
      <c r="C125" s="61" t="s">
        <v>92</v>
      </c>
      <c r="D125" s="96"/>
      <c r="E125" s="79"/>
      <c r="F125" s="83"/>
      <c r="G125" s="9"/>
    </row>
    <row r="126" spans="2:7" ht="15.5" x14ac:dyDescent="0.35">
      <c r="B126" s="12"/>
      <c r="C126" s="62" t="s">
        <v>93</v>
      </c>
      <c r="D126" s="96"/>
      <c r="E126" s="79"/>
      <c r="F126" s="83"/>
      <c r="G126" s="9"/>
    </row>
    <row r="127" spans="2:7" ht="15.5" x14ac:dyDescent="0.35">
      <c r="B127" s="12"/>
      <c r="C127" s="63" t="s">
        <v>94</v>
      </c>
      <c r="D127" s="8"/>
      <c r="E127" s="79"/>
      <c r="F127" s="83"/>
      <c r="G127" s="2"/>
    </row>
    <row r="128" spans="2:7" ht="15.5" x14ac:dyDescent="0.35">
      <c r="B128" s="12"/>
      <c r="C128" s="63" t="s">
        <v>95</v>
      </c>
      <c r="D128" s="96"/>
      <c r="E128" s="79"/>
      <c r="F128" s="83"/>
      <c r="G128" s="2"/>
    </row>
    <row r="129" spans="2:7" ht="30" customHeight="1" x14ac:dyDescent="0.35">
      <c r="B129" s="12">
        <v>2</v>
      </c>
      <c r="C129" s="57" t="s">
        <v>96</v>
      </c>
      <c r="D129" s="96"/>
      <c r="E129" s="79"/>
      <c r="F129" s="83"/>
      <c r="G129" s="2"/>
    </row>
    <row r="130" spans="2:7" ht="18" customHeight="1" x14ac:dyDescent="0.35">
      <c r="B130" s="12">
        <v>3</v>
      </c>
      <c r="C130" s="57" t="s">
        <v>97</v>
      </c>
      <c r="D130" s="96"/>
      <c r="E130" s="79"/>
      <c r="F130" s="83"/>
      <c r="G130" s="2"/>
    </row>
    <row r="131" spans="2:7" ht="30" customHeight="1" x14ac:dyDescent="0.35"/>
    <row r="132" spans="2:7" ht="30" customHeight="1" x14ac:dyDescent="0.35">
      <c r="B132" s="43"/>
      <c r="C132" s="44"/>
      <c r="D132" s="92" t="s">
        <v>10</v>
      </c>
      <c r="E132" s="82" t="s">
        <v>11</v>
      </c>
      <c r="F132" s="82" t="s">
        <v>12</v>
      </c>
      <c r="G132" s="45" t="s">
        <v>13</v>
      </c>
    </row>
    <row r="133" spans="2:7" ht="18.5" x14ac:dyDescent="0.45">
      <c r="B133" s="59">
        <v>3.11</v>
      </c>
      <c r="C133" s="65" t="s">
        <v>98</v>
      </c>
      <c r="D133" s="8"/>
      <c r="E133" s="79"/>
      <c r="F133" s="83"/>
      <c r="G133" s="2"/>
    </row>
    <row r="134" spans="2:7" ht="18.5" x14ac:dyDescent="0.35">
      <c r="B134" s="12">
        <v>1</v>
      </c>
      <c r="C134" s="54" t="s">
        <v>99</v>
      </c>
      <c r="D134" s="88"/>
      <c r="E134" s="79" t="s">
        <v>387</v>
      </c>
      <c r="F134" s="95" t="s">
        <v>377</v>
      </c>
      <c r="G134" s="9"/>
    </row>
    <row r="135" spans="2:7" ht="18.5" x14ac:dyDescent="0.35">
      <c r="B135" s="12"/>
      <c r="C135" s="60" t="s">
        <v>100</v>
      </c>
      <c r="D135" s="88"/>
      <c r="E135" s="79"/>
      <c r="F135" s="83"/>
      <c r="G135" s="2"/>
    </row>
    <row r="136" spans="2:7" ht="18.5" x14ac:dyDescent="0.35">
      <c r="B136" s="12">
        <v>2</v>
      </c>
      <c r="C136" s="55" t="s">
        <v>101</v>
      </c>
      <c r="D136" s="88"/>
      <c r="E136" s="79" t="s">
        <v>388</v>
      </c>
      <c r="F136" s="95" t="s">
        <v>377</v>
      </c>
      <c r="G136" s="2"/>
    </row>
    <row r="137" spans="2:7" ht="18.5" x14ac:dyDescent="0.35">
      <c r="B137" s="12"/>
      <c r="C137" s="60" t="s">
        <v>102</v>
      </c>
      <c r="D137" s="88"/>
      <c r="E137" s="104"/>
      <c r="F137" s="83"/>
      <c r="G137" s="2"/>
    </row>
    <row r="138" spans="2:7" ht="21.75" customHeight="1" x14ac:dyDescent="0.35">
      <c r="B138" s="12">
        <v>3</v>
      </c>
      <c r="C138" s="55" t="s">
        <v>103</v>
      </c>
      <c r="D138" s="88"/>
      <c r="E138" s="79"/>
      <c r="F138" s="83"/>
      <c r="G138" s="2"/>
    </row>
    <row r="139" spans="2:7" ht="18.5" x14ac:dyDescent="0.35">
      <c r="B139" s="12"/>
      <c r="C139" s="60" t="s">
        <v>104</v>
      </c>
      <c r="D139" s="88"/>
      <c r="E139" s="79"/>
      <c r="F139" s="83"/>
      <c r="G139" s="2"/>
    </row>
    <row r="140" spans="2:7" ht="18.5" x14ac:dyDescent="0.35">
      <c r="B140" s="31">
        <v>4</v>
      </c>
      <c r="C140" s="55" t="s">
        <v>105</v>
      </c>
      <c r="D140" s="88" t="s">
        <v>358</v>
      </c>
      <c r="E140" s="80"/>
      <c r="F140" s="83"/>
      <c r="G140" s="2"/>
    </row>
    <row r="141" spans="2:7" ht="29" x14ac:dyDescent="0.35">
      <c r="B141" s="31"/>
      <c r="C141" s="55" t="s">
        <v>106</v>
      </c>
      <c r="D141" s="88"/>
      <c r="E141" s="113" t="s">
        <v>393</v>
      </c>
      <c r="F141" s="83"/>
      <c r="G141" s="2"/>
    </row>
    <row r="142" spans="2:7" ht="18.5" x14ac:dyDescent="0.35">
      <c r="B142" s="12"/>
      <c r="C142" s="55"/>
      <c r="D142" s="88"/>
      <c r="E142" s="79"/>
      <c r="F142" s="83"/>
      <c r="G142" s="2"/>
    </row>
    <row r="145" spans="2:7" x14ac:dyDescent="0.35">
      <c r="B145" s="43"/>
      <c r="C145" s="44"/>
      <c r="D145" s="92" t="s">
        <v>10</v>
      </c>
      <c r="E145" s="82" t="s">
        <v>11</v>
      </c>
      <c r="F145" s="82" t="s">
        <v>12</v>
      </c>
      <c r="G145" s="45" t="s">
        <v>13</v>
      </c>
    </row>
    <row r="146" spans="2:7" ht="18.5" x14ac:dyDescent="0.45">
      <c r="B146" s="59">
        <v>3.12</v>
      </c>
      <c r="C146" s="65" t="s">
        <v>107</v>
      </c>
      <c r="D146" s="8"/>
      <c r="E146" s="79"/>
      <c r="F146" s="83"/>
      <c r="G146" s="2"/>
    </row>
    <row r="147" spans="2:7" ht="18.5" x14ac:dyDescent="0.35">
      <c r="B147" s="12">
        <v>1</v>
      </c>
      <c r="C147" s="55" t="s">
        <v>108</v>
      </c>
      <c r="D147" s="88" t="s">
        <v>358</v>
      </c>
      <c r="E147" s="79" t="s">
        <v>389</v>
      </c>
      <c r="F147" s="83"/>
      <c r="G147" s="9"/>
    </row>
    <row r="148" spans="2:7" ht="18.5" x14ac:dyDescent="0.35">
      <c r="B148" s="12">
        <v>2</v>
      </c>
      <c r="C148" s="57" t="s">
        <v>109</v>
      </c>
      <c r="D148" s="88" t="s">
        <v>368</v>
      </c>
      <c r="E148" s="79"/>
      <c r="F148" s="83"/>
      <c r="G148" s="2"/>
    </row>
    <row r="149" spans="2:7" ht="18.5" x14ac:dyDescent="0.35">
      <c r="B149" s="12"/>
      <c r="C149" s="57" t="s">
        <v>110</v>
      </c>
      <c r="D149" s="88" t="s">
        <v>368</v>
      </c>
      <c r="E149" s="79"/>
      <c r="F149" s="83"/>
      <c r="G149" s="2"/>
    </row>
    <row r="150" spans="2:7" ht="18.5" x14ac:dyDescent="0.35">
      <c r="B150" s="12">
        <v>3</v>
      </c>
      <c r="C150" s="57" t="s">
        <v>111</v>
      </c>
      <c r="D150" s="88" t="s">
        <v>292</v>
      </c>
      <c r="E150" s="79"/>
      <c r="F150" s="83"/>
      <c r="G150" s="2"/>
    </row>
    <row r="151" spans="2:7" ht="18.5" x14ac:dyDescent="0.35">
      <c r="B151" s="12"/>
      <c r="C151" s="57" t="s">
        <v>112</v>
      </c>
      <c r="D151" s="88" t="s">
        <v>292</v>
      </c>
      <c r="E151" s="79"/>
      <c r="F151" s="105"/>
      <c r="G151" s="2"/>
    </row>
    <row r="152" spans="2:7" ht="18.5" x14ac:dyDescent="0.35">
      <c r="B152" s="12">
        <v>4</v>
      </c>
      <c r="C152" s="57" t="s">
        <v>113</v>
      </c>
      <c r="D152" s="88" t="s">
        <v>292</v>
      </c>
      <c r="E152" s="79"/>
      <c r="F152" s="83"/>
      <c r="G152" s="2"/>
    </row>
    <row r="153" spans="2:7" ht="18.5" x14ac:dyDescent="0.35">
      <c r="B153" s="12"/>
      <c r="C153" s="57" t="s">
        <v>114</v>
      </c>
      <c r="D153" s="88" t="s">
        <v>292</v>
      </c>
      <c r="E153" s="79"/>
      <c r="F153" s="83"/>
      <c r="G153" s="2"/>
    </row>
    <row r="154" spans="2:7" ht="15.5" x14ac:dyDescent="0.35">
      <c r="B154" s="12">
        <v>5</v>
      </c>
      <c r="C154" s="57" t="s">
        <v>115</v>
      </c>
      <c r="D154" s="96" t="s">
        <v>292</v>
      </c>
      <c r="E154" s="79"/>
      <c r="F154" s="83"/>
      <c r="G154" s="2"/>
    </row>
    <row r="155" spans="2:7" ht="29" x14ac:dyDescent="0.35">
      <c r="B155" s="12">
        <v>6</v>
      </c>
      <c r="C155" s="57" t="s">
        <v>116</v>
      </c>
      <c r="D155" s="88" t="s">
        <v>358</v>
      </c>
      <c r="E155" s="79" t="s">
        <v>390</v>
      </c>
      <c r="F155" s="95" t="s">
        <v>377</v>
      </c>
      <c r="G155" s="2"/>
    </row>
    <row r="156" spans="2:7" ht="43.5" x14ac:dyDescent="0.35">
      <c r="B156" s="12">
        <v>7</v>
      </c>
      <c r="C156" s="57" t="s">
        <v>117</v>
      </c>
      <c r="D156" s="88" t="s">
        <v>358</v>
      </c>
      <c r="E156" s="79" t="s">
        <v>391</v>
      </c>
      <c r="F156" s="112" t="s">
        <v>392</v>
      </c>
      <c r="G156" s="2"/>
    </row>
    <row r="157" spans="2:7" ht="18.5" x14ac:dyDescent="0.35">
      <c r="B157" s="12"/>
      <c r="C157" s="64" t="s">
        <v>118</v>
      </c>
      <c r="D157" s="90"/>
      <c r="E157" s="79"/>
      <c r="F157" s="83"/>
      <c r="G157" s="2"/>
    </row>
    <row r="158" spans="2:7" ht="29" x14ac:dyDescent="0.35">
      <c r="B158" s="12">
        <v>8</v>
      </c>
      <c r="C158" s="57" t="s">
        <v>119</v>
      </c>
      <c r="D158" s="88" t="s">
        <v>292</v>
      </c>
      <c r="E158" s="113" t="s">
        <v>393</v>
      </c>
      <c r="F158" s="83"/>
      <c r="G158" s="2"/>
    </row>
    <row r="159" spans="2:7" ht="18.5" x14ac:dyDescent="0.35">
      <c r="B159" s="12"/>
      <c r="C159" s="63" t="s">
        <v>120</v>
      </c>
      <c r="D159" s="88"/>
      <c r="E159" s="79"/>
      <c r="F159" s="83"/>
      <c r="G159" s="2"/>
    </row>
    <row r="160" spans="2:7" ht="18.5" x14ac:dyDescent="0.35">
      <c r="B160" s="12"/>
      <c r="C160" s="63" t="s">
        <v>121</v>
      </c>
      <c r="D160" s="88"/>
      <c r="E160" s="79"/>
      <c r="F160" s="83"/>
      <c r="G160" s="2"/>
    </row>
    <row r="161" spans="2:7" ht="18.5" x14ac:dyDescent="0.35">
      <c r="B161" s="12"/>
      <c r="C161" s="63" t="s">
        <v>122</v>
      </c>
      <c r="D161" s="90"/>
      <c r="E161" s="79"/>
      <c r="F161" s="83"/>
      <c r="G161" s="2"/>
    </row>
    <row r="162" spans="2:7" ht="18.5" x14ac:dyDescent="0.35">
      <c r="B162" s="12"/>
      <c r="C162" s="63" t="s">
        <v>123</v>
      </c>
      <c r="D162" s="90"/>
      <c r="E162" s="79"/>
      <c r="F162" s="83"/>
      <c r="G162" s="2"/>
    </row>
    <row r="164" spans="2:7" x14ac:dyDescent="0.35">
      <c r="B164" s="1"/>
    </row>
    <row r="165" spans="2:7" x14ac:dyDescent="0.35">
      <c r="B165" s="43"/>
      <c r="C165" s="44"/>
      <c r="D165" s="92" t="s">
        <v>10</v>
      </c>
      <c r="E165" s="82" t="s">
        <v>11</v>
      </c>
      <c r="F165" s="82" t="s">
        <v>12</v>
      </c>
      <c r="G165" s="45" t="s">
        <v>13</v>
      </c>
    </row>
    <row r="166" spans="2:7" ht="18.5" x14ac:dyDescent="0.45">
      <c r="B166" s="59">
        <v>3.13</v>
      </c>
      <c r="C166" s="65" t="s">
        <v>124</v>
      </c>
      <c r="D166" s="8"/>
      <c r="E166" s="79"/>
      <c r="F166" s="83"/>
      <c r="G166" s="2"/>
    </row>
    <row r="167" spans="2:7" ht="29" x14ac:dyDescent="0.35">
      <c r="B167" s="12"/>
      <c r="C167" s="56" t="s">
        <v>125</v>
      </c>
      <c r="D167" s="79" t="s">
        <v>358</v>
      </c>
      <c r="E167" s="113" t="s">
        <v>393</v>
      </c>
      <c r="F167" s="83"/>
      <c r="G167" s="9"/>
    </row>
    <row r="168" spans="2:7" ht="18.5" x14ac:dyDescent="0.35">
      <c r="B168" s="100"/>
      <c r="C168" s="103"/>
      <c r="D168" s="97"/>
      <c r="E168" s="101"/>
      <c r="F168" s="102"/>
      <c r="G168" s="43"/>
    </row>
    <row r="169" spans="2:7" ht="18.5" x14ac:dyDescent="0.35">
      <c r="B169" s="100"/>
      <c r="C169" s="103"/>
      <c r="D169" s="97"/>
      <c r="E169" s="101"/>
      <c r="F169" s="102"/>
      <c r="G169" s="43"/>
    </row>
    <row r="170" spans="2:7" ht="18.5" x14ac:dyDescent="0.35">
      <c r="B170" s="100"/>
      <c r="C170" s="103"/>
      <c r="D170" s="97"/>
      <c r="E170" s="101"/>
      <c r="F170" s="102"/>
      <c r="G170" s="43"/>
    </row>
    <row r="171" spans="2:7" ht="15.5" x14ac:dyDescent="0.35">
      <c r="B171" s="12"/>
      <c r="C171" s="56" t="s">
        <v>126</v>
      </c>
      <c r="D171" s="96"/>
      <c r="E171" s="79"/>
      <c r="F171" s="83"/>
      <c r="G171" s="9"/>
    </row>
    <row r="172" spans="2:7" ht="18.5" x14ac:dyDescent="0.35">
      <c r="B172" s="12"/>
      <c r="C172" s="57"/>
      <c r="D172" s="90"/>
      <c r="E172" s="79"/>
      <c r="F172" s="83"/>
      <c r="G172" s="2"/>
    </row>
  </sheetData>
  <mergeCells count="8">
    <mergeCell ref="C51:C52"/>
    <mergeCell ref="C54:C55"/>
    <mergeCell ref="C57:C59"/>
    <mergeCell ref="C61:C63"/>
    <mergeCell ref="E51:E52"/>
    <mergeCell ref="E54:E55"/>
    <mergeCell ref="E57:E59"/>
    <mergeCell ref="E61:E63"/>
  </mergeCells>
  <hyperlinks>
    <hyperlink ref="F80" r:id="rId1" display="https://wiki.teltonika-gps.com/images/b/bf/FMC250_Datasheet_V1.1.pdf" xr:uid="{15B092D3-5B5D-447D-8E10-5D6778680213}"/>
    <hyperlink ref="F97" r:id="rId2" display="https://cdas.azure.chevron.com/ITE-OT/Patterns/Central-IIoT-Platform.html" xr:uid="{D787EDB5-2E29-43D8-9053-6235CE7B3412}"/>
    <hyperlink ref="F99" r:id="rId3" display="https://cdas.azure.chevron.com/ITE-OT/Patterns/Central-IIoT-Platform.html" xr:uid="{3C2D03D9-F6D4-496E-8C0E-E601492DACFE}"/>
    <hyperlink ref="F136" r:id="rId4" display="https://wiki.teltonika-gps.com/images/b/bf/FMC250_Datasheet_V1.1.pdf" xr:uid="{B27BED58-5C65-43EF-9847-876BFE73B23D}"/>
    <hyperlink ref="F155" r:id="rId5" display="https://wiki.teltonika-gps.com/images/b/bf/FMC250_Datasheet_V1.1.pdf" xr:uid="{5F6BCC3B-DDA4-429F-8BA1-205452D93989}"/>
    <hyperlink ref="F134" r:id="rId6" display="https://wiki.teltonika-gps.com/images/b/bf/FMC250_Datasheet_V1.1.pdf" xr:uid="{C8DEA23E-8939-44C5-B72D-C6D7A94AFB45}"/>
    <hyperlink ref="F107" r:id="rId7" display="https://wiki.teltonika-gps.com/images/b/bf/FMC250_Datasheet_V1.1.pdf" xr:uid="{B5A4254D-623D-4905-A672-BDD099C00CCB}"/>
    <hyperlink ref="F46" r:id="rId8" display="https://wiki.teltonika-gps.com/images/b/bf/FMC250_Datasheet_V1.1.pdf" xr:uid="{AA026496-168D-4097-9FDC-37A995E283D0}"/>
    <hyperlink ref="F30" r:id="rId9" display="https://wiki.teltonika-gps.com/images/b/bf/FMC250_Datasheet_V1.1.pdf" xr:uid="{2348379B-35F5-4A4D-BFD5-BE00EC3D6101}"/>
    <hyperlink ref="F26" r:id="rId10" display="https://wiki.teltonika-gps.com/images/b/bf/FMC250_Datasheet_V1.1.pdf" xr:uid="{13923C24-8E6A-4909-B2BB-34874789D586}"/>
    <hyperlink ref="F25" r:id="rId11" display="https://wiki.teltonika-gps.com/images/b/bf/FMC250_Datasheet_V1.1.pdf" xr:uid="{64F9B312-D5D6-4A72-82A6-F2B16F6B540B}"/>
    <hyperlink ref="F24" r:id="rId12" display="https://wiki.teltonika-gps.com/images/b/bf/FMC250_Datasheet_V1.1.pdf" xr:uid="{26727F8D-D277-46BC-A267-312007350823}"/>
    <hyperlink ref="F23" r:id="rId13" display="https://wiki.teltonika-gps.com/images/b/bf/FMC250_Datasheet_V1.1.pdf" xr:uid="{FDF6A64C-9E6C-43FD-9567-8309E006E5C8}"/>
    <hyperlink ref="F22" r:id="rId14" display="https://wiki.teltonika-gps.com/images/b/bf/FMC250_Datasheet_V1.1.pdf" xr:uid="{9ED646BD-35B1-4677-9C92-AD3357773440}"/>
    <hyperlink ref="F14" r:id="rId15" display="https://wiki.teltonika-gps.com/images/b/bf/FMC250_Datasheet_V1.1.pdf" xr:uid="{6B3EE39C-4541-475C-87C8-C4E5EAF5BFE1}"/>
    <hyperlink ref="F156" r:id="rId16" display="https://www.teltonika-gps.com/solutions/fota-web" xr:uid="{5DCFA44D-962E-4EC7-B90C-3572F96A46AA}"/>
    <hyperlink ref="E158" r:id="rId17" xr:uid="{011DC8F4-19A1-45EA-8648-D85A8374975E}"/>
    <hyperlink ref="F13" r:id="rId18" xr:uid="{E2152481-DE70-4F0A-A6EA-4BF3BDF5D29B}"/>
    <hyperlink ref="E141" r:id="rId19" xr:uid="{88193004-DBAE-4010-AC1E-D22A0EB540CC}"/>
    <hyperlink ref="E167" r:id="rId20" xr:uid="{27B9F21F-B1C0-469B-BEE5-2EFF3501D976}"/>
  </hyperlinks>
  <pageMargins left="0.7" right="0.7" top="0.75" bottom="0.75" header="0.3" footer="0.3"/>
  <pageSetup scale="41" orientation="landscape" r:id="rId21"/>
  <rowBreaks count="3" manualBreakCount="3">
    <brk id="30" max="6" man="1"/>
    <brk id="73" max="6" man="1"/>
    <brk id="113"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16"/>
  <sheetViews>
    <sheetView zoomScale="91" zoomScaleNormal="80" zoomScaleSheetLayoutView="100" workbookViewId="0">
      <selection activeCell="G27" sqref="G27"/>
    </sheetView>
  </sheetViews>
  <sheetFormatPr defaultColWidth="8.81640625" defaultRowHeight="14.5" x14ac:dyDescent="0.35"/>
  <cols>
    <col min="2" max="2" width="8.26953125" bestFit="1" customWidth="1"/>
    <col min="3" max="3" width="118.26953125" bestFit="1" customWidth="1"/>
    <col min="4" max="4" width="13.7265625" customWidth="1"/>
    <col min="5" max="5" width="39.1796875" bestFit="1" customWidth="1"/>
    <col min="6" max="6" width="48.453125" customWidth="1"/>
    <col min="7" max="7" width="52.1796875" customWidth="1"/>
    <col min="8" max="8" width="38.26953125" customWidth="1"/>
  </cols>
  <sheetData>
    <row r="2" spans="2:7" ht="15.5" x14ac:dyDescent="0.35">
      <c r="B2" s="29" t="s">
        <v>127</v>
      </c>
      <c r="C2" s="30" t="s">
        <v>128</v>
      </c>
    </row>
    <row r="3" spans="2:7" ht="16" thickBot="1" x14ac:dyDescent="0.4">
      <c r="B3" s="29"/>
      <c r="C3" s="30"/>
    </row>
    <row r="4" spans="2:7" ht="18" thickBot="1" x14ac:dyDescent="0.4">
      <c r="B4" s="3" t="s">
        <v>4</v>
      </c>
      <c r="C4" s="4" t="s">
        <v>5</v>
      </c>
    </row>
    <row r="5" spans="2:7" ht="18" thickBot="1" x14ac:dyDescent="0.4">
      <c r="B5" s="5" t="s">
        <v>6</v>
      </c>
      <c r="C5" s="6" t="s">
        <v>7</v>
      </c>
    </row>
    <row r="6" spans="2:7" ht="18" thickBot="1" x14ac:dyDescent="0.4">
      <c r="B6" s="5" t="s">
        <v>8</v>
      </c>
      <c r="C6" s="6" t="s">
        <v>9</v>
      </c>
    </row>
    <row r="7" spans="2:7" ht="15.5" x14ac:dyDescent="0.35">
      <c r="B7" s="29"/>
      <c r="C7" s="30"/>
    </row>
    <row r="9" spans="2:7" x14ac:dyDescent="0.35">
      <c r="B9" s="1"/>
    </row>
    <row r="10" spans="2:7" x14ac:dyDescent="0.35">
      <c r="B10" s="43"/>
      <c r="C10" s="46" t="s">
        <v>129</v>
      </c>
      <c r="D10" s="45" t="s">
        <v>10</v>
      </c>
      <c r="E10" s="45" t="s">
        <v>11</v>
      </c>
      <c r="F10" s="45" t="s">
        <v>12</v>
      </c>
      <c r="G10" s="45" t="s">
        <v>13</v>
      </c>
    </row>
    <row r="11" spans="2:7" ht="17.5" x14ac:dyDescent="0.35">
      <c r="B11" s="15">
        <v>3.1</v>
      </c>
      <c r="C11" s="25" t="s">
        <v>130</v>
      </c>
      <c r="D11" s="8"/>
      <c r="E11" s="9"/>
      <c r="F11" s="2"/>
      <c r="G11" s="2"/>
    </row>
    <row r="12" spans="2:7" s="11" customFormat="1" ht="17.5" x14ac:dyDescent="0.35">
      <c r="B12" s="12">
        <v>1</v>
      </c>
      <c r="C12" s="7" t="s">
        <v>131</v>
      </c>
      <c r="D12" s="10" t="s">
        <v>4</v>
      </c>
      <c r="E12" s="9"/>
      <c r="F12" s="9"/>
      <c r="G12" s="9"/>
    </row>
    <row r="13" spans="2:7" s="11" customFormat="1" ht="17.5" x14ac:dyDescent="0.35">
      <c r="B13" s="12">
        <v>2</v>
      </c>
      <c r="C13" s="7" t="s">
        <v>132</v>
      </c>
      <c r="D13" s="10" t="s">
        <v>4</v>
      </c>
      <c r="E13" s="9"/>
      <c r="F13" s="9"/>
      <c r="G13" s="9"/>
    </row>
    <row r="14" spans="2:7" s="11" customFormat="1" ht="17.5" x14ac:dyDescent="0.35">
      <c r="B14" s="12">
        <v>3</v>
      </c>
      <c r="C14" s="7" t="s">
        <v>133</v>
      </c>
      <c r="D14" s="10" t="s">
        <v>4</v>
      </c>
      <c r="E14" s="9"/>
      <c r="F14" s="9"/>
      <c r="G14" s="9"/>
    </row>
    <row r="15" spans="2:7" s="11" customFormat="1" ht="17.5" x14ac:dyDescent="0.35">
      <c r="B15" s="12">
        <v>4</v>
      </c>
      <c r="C15" s="7" t="s">
        <v>134</v>
      </c>
      <c r="D15" s="10" t="s">
        <v>4</v>
      </c>
      <c r="E15" s="9"/>
      <c r="F15" s="9"/>
      <c r="G15" s="9"/>
    </row>
    <row r="16" spans="2:7" s="11" customFormat="1" ht="46.5" customHeight="1" x14ac:dyDescent="0.35">
      <c r="B16" s="12">
        <v>5</v>
      </c>
      <c r="C16" s="26" t="s">
        <v>135</v>
      </c>
      <c r="D16" s="10" t="s">
        <v>4</v>
      </c>
      <c r="E16" s="9" t="s">
        <v>136</v>
      </c>
      <c r="F16" s="9"/>
      <c r="G16" s="9"/>
    </row>
    <row r="17" spans="2:7" s="11" customFormat="1" ht="17.5" x14ac:dyDescent="0.35">
      <c r="B17" s="12">
        <v>7</v>
      </c>
      <c r="C17" s="7" t="s">
        <v>137</v>
      </c>
      <c r="D17" s="10" t="s">
        <v>4</v>
      </c>
      <c r="E17" s="9"/>
      <c r="F17" s="9"/>
      <c r="G17" s="9"/>
    </row>
    <row r="18" spans="2:7" s="11" customFormat="1" ht="17.5" x14ac:dyDescent="0.35">
      <c r="B18" s="12">
        <v>8</v>
      </c>
      <c r="C18" s="7" t="s">
        <v>138</v>
      </c>
      <c r="D18" s="10" t="s">
        <v>4</v>
      </c>
      <c r="E18" s="9"/>
      <c r="F18" s="9"/>
      <c r="G18" s="9"/>
    </row>
    <row r="19" spans="2:7" s="11" customFormat="1" ht="17.5" x14ac:dyDescent="0.35">
      <c r="B19" s="12">
        <v>9</v>
      </c>
      <c r="C19" s="7" t="s">
        <v>139</v>
      </c>
      <c r="D19" s="10" t="s">
        <v>4</v>
      </c>
      <c r="E19" s="9" t="s">
        <v>140</v>
      </c>
      <c r="F19" s="9"/>
      <c r="G19" s="9"/>
    </row>
    <row r="20" spans="2:7" s="11" customFormat="1" ht="17.5" x14ac:dyDescent="0.35">
      <c r="B20" s="12">
        <v>10</v>
      </c>
      <c r="C20" s="7" t="s">
        <v>141</v>
      </c>
      <c r="D20" s="10" t="s">
        <v>4</v>
      </c>
      <c r="E20" s="9"/>
      <c r="F20" s="9"/>
      <c r="G20" s="9"/>
    </row>
    <row r="21" spans="2:7" s="11" customFormat="1" ht="17.5" x14ac:dyDescent="0.35">
      <c r="B21" s="12">
        <v>11</v>
      </c>
      <c r="C21" s="7" t="s">
        <v>142</v>
      </c>
      <c r="D21" s="10" t="s">
        <v>4</v>
      </c>
      <c r="E21" s="9"/>
      <c r="F21" s="9"/>
      <c r="G21" s="9"/>
    </row>
    <row r="22" spans="2:7" s="11" customFormat="1" ht="17.5" x14ac:dyDescent="0.35">
      <c r="B22" s="12">
        <v>12</v>
      </c>
      <c r="C22" s="7" t="s">
        <v>143</v>
      </c>
      <c r="D22" s="10" t="s">
        <v>4</v>
      </c>
      <c r="E22" s="9"/>
      <c r="F22" s="9"/>
      <c r="G22" s="9"/>
    </row>
    <row r="23" spans="2:7" s="11" customFormat="1" ht="17.5" x14ac:dyDescent="0.35">
      <c r="B23" s="12">
        <v>13</v>
      </c>
      <c r="C23" s="7" t="s">
        <v>144</v>
      </c>
      <c r="D23" s="10" t="s">
        <v>4</v>
      </c>
      <c r="E23" s="9"/>
      <c r="F23" s="9"/>
      <c r="G23" s="9"/>
    </row>
    <row r="24" spans="2:7" s="11" customFormat="1" ht="17.5" x14ac:dyDescent="0.35">
      <c r="B24" s="12">
        <v>14</v>
      </c>
      <c r="C24" s="7" t="s">
        <v>145</v>
      </c>
      <c r="D24" s="10" t="s">
        <v>4</v>
      </c>
      <c r="E24" s="9"/>
      <c r="F24" s="9"/>
      <c r="G24" s="9"/>
    </row>
    <row r="25" spans="2:7" s="11" customFormat="1" ht="17.5" x14ac:dyDescent="0.35">
      <c r="B25" s="12">
        <v>15</v>
      </c>
      <c r="C25" s="7" t="s">
        <v>146</v>
      </c>
      <c r="D25" s="10" t="s">
        <v>4</v>
      </c>
      <c r="E25" s="9"/>
      <c r="F25" s="9"/>
      <c r="G25" s="9"/>
    </row>
    <row r="26" spans="2:7" ht="17.5" x14ac:dyDescent="0.35">
      <c r="B26" s="12">
        <v>16</v>
      </c>
      <c r="C26" s="7" t="s">
        <v>147</v>
      </c>
      <c r="D26" s="10" t="s">
        <v>4</v>
      </c>
      <c r="E26" s="9"/>
      <c r="F26" s="2"/>
      <c r="G26" s="2"/>
    </row>
    <row r="27" spans="2:7" ht="275.5" x14ac:dyDescent="0.35">
      <c r="B27" s="12">
        <v>17</v>
      </c>
      <c r="C27" s="7" t="s">
        <v>142</v>
      </c>
      <c r="D27" s="10" t="s">
        <v>8</v>
      </c>
      <c r="E27" s="9" t="s">
        <v>148</v>
      </c>
      <c r="F27" s="2"/>
      <c r="G27" s="9" t="s">
        <v>149</v>
      </c>
    </row>
    <row r="28" spans="2:7" ht="17.5" x14ac:dyDescent="0.35">
      <c r="B28" s="12">
        <v>18</v>
      </c>
      <c r="C28" s="7" t="s">
        <v>143</v>
      </c>
      <c r="D28" s="10" t="s">
        <v>4</v>
      </c>
      <c r="E28" s="9"/>
      <c r="F28" s="2"/>
      <c r="G28" s="2"/>
    </row>
    <row r="29" spans="2:7" ht="17.5" x14ac:dyDescent="0.35">
      <c r="B29" s="12">
        <v>19</v>
      </c>
      <c r="C29" s="7" t="s">
        <v>150</v>
      </c>
      <c r="D29" s="10" t="s">
        <v>4</v>
      </c>
      <c r="E29" s="9"/>
      <c r="F29" s="2"/>
      <c r="G29" s="2"/>
    </row>
    <row r="30" spans="2:7" ht="17.5" x14ac:dyDescent="0.35">
      <c r="B30" s="12">
        <v>20</v>
      </c>
      <c r="C30" s="7" t="s">
        <v>145</v>
      </c>
      <c r="D30" s="10" t="s">
        <v>4</v>
      </c>
      <c r="E30" s="9"/>
      <c r="F30" s="2"/>
      <c r="G30" s="2"/>
    </row>
    <row r="31" spans="2:7" ht="17.5" x14ac:dyDescent="0.35">
      <c r="B31" s="12">
        <v>21</v>
      </c>
      <c r="C31" s="7" t="s">
        <v>146</v>
      </c>
      <c r="D31" s="10" t="s">
        <v>4</v>
      </c>
      <c r="E31" s="9"/>
      <c r="F31" s="2"/>
      <c r="G31" s="2"/>
    </row>
    <row r="32" spans="2:7" ht="17.5" x14ac:dyDescent="0.35">
      <c r="B32" s="20"/>
      <c r="C32" s="13"/>
      <c r="D32" s="14"/>
      <c r="E32" s="11"/>
    </row>
    <row r="33" spans="2:7" ht="17.5" x14ac:dyDescent="0.35">
      <c r="C33" s="13"/>
      <c r="D33" s="14"/>
      <c r="E33" s="11"/>
    </row>
    <row r="34" spans="2:7" x14ac:dyDescent="0.35">
      <c r="B34" s="43"/>
      <c r="C34" s="46" t="s">
        <v>129</v>
      </c>
      <c r="D34" s="45" t="s">
        <v>10</v>
      </c>
      <c r="E34" s="45" t="s">
        <v>11</v>
      </c>
      <c r="F34" s="45" t="s">
        <v>12</v>
      </c>
      <c r="G34" s="45" t="s">
        <v>13</v>
      </c>
    </row>
    <row r="35" spans="2:7" ht="17.5" x14ac:dyDescent="0.35">
      <c r="B35" s="15">
        <v>3.7</v>
      </c>
      <c r="C35" s="27" t="s">
        <v>151</v>
      </c>
      <c r="D35" s="8"/>
      <c r="E35" s="9"/>
      <c r="F35" s="2"/>
      <c r="G35" s="2"/>
    </row>
    <row r="36" spans="2:7" ht="17.5" x14ac:dyDescent="0.35">
      <c r="B36" s="15"/>
      <c r="C36" s="27" t="s">
        <v>152</v>
      </c>
      <c r="D36" s="8"/>
      <c r="E36" s="9"/>
      <c r="F36" s="2"/>
      <c r="G36" s="2"/>
    </row>
    <row r="37" spans="2:7" ht="17.5" x14ac:dyDescent="0.35">
      <c r="B37" s="12">
        <v>1</v>
      </c>
      <c r="C37" s="7" t="s">
        <v>153</v>
      </c>
      <c r="D37" s="10" t="s">
        <v>4</v>
      </c>
      <c r="E37" s="9"/>
      <c r="F37" s="9"/>
      <c r="G37" s="9"/>
    </row>
    <row r="38" spans="2:7" ht="17.5" x14ac:dyDescent="0.35">
      <c r="B38" s="12">
        <v>2</v>
      </c>
      <c r="C38" s="7" t="s">
        <v>154</v>
      </c>
      <c r="D38" s="10" t="s">
        <v>4</v>
      </c>
      <c r="E38" s="9"/>
      <c r="F38" s="9"/>
      <c r="G38" s="9"/>
    </row>
    <row r="39" spans="2:7" ht="17.5" x14ac:dyDescent="0.35">
      <c r="B39" s="12">
        <v>3</v>
      </c>
      <c r="C39" s="7" t="s">
        <v>155</v>
      </c>
      <c r="D39" s="10" t="s">
        <v>4</v>
      </c>
      <c r="E39" s="9"/>
      <c r="F39" s="9"/>
      <c r="G39" s="9"/>
    </row>
    <row r="40" spans="2:7" ht="17.5" x14ac:dyDescent="0.35">
      <c r="B40" s="12">
        <v>4</v>
      </c>
      <c r="C40" s="7" t="s">
        <v>156</v>
      </c>
      <c r="D40" s="10" t="s">
        <v>4</v>
      </c>
      <c r="E40" s="9"/>
      <c r="F40" s="9"/>
      <c r="G40" s="9"/>
    </row>
    <row r="41" spans="2:7" ht="17.5" x14ac:dyDescent="0.35">
      <c r="B41" s="12">
        <v>5</v>
      </c>
      <c r="C41" s="26" t="s">
        <v>157</v>
      </c>
      <c r="D41" s="10" t="s">
        <v>4</v>
      </c>
      <c r="E41" s="9"/>
      <c r="F41" s="9"/>
      <c r="G41" s="9"/>
    </row>
    <row r="42" spans="2:7" ht="17.5" x14ac:dyDescent="0.35">
      <c r="B42" s="12">
        <v>6</v>
      </c>
      <c r="C42" s="36" t="s">
        <v>158</v>
      </c>
      <c r="D42" s="10" t="s">
        <v>4</v>
      </c>
      <c r="E42" s="9"/>
      <c r="F42" s="2"/>
      <c r="G42" s="2"/>
    </row>
    <row r="43" spans="2:7" ht="17.5" x14ac:dyDescent="0.35">
      <c r="B43" s="20"/>
      <c r="C43" s="13"/>
      <c r="D43" s="14"/>
      <c r="E43" s="11"/>
    </row>
    <row r="44" spans="2:7" ht="17.5" x14ac:dyDescent="0.35">
      <c r="C44" s="13"/>
      <c r="D44" s="14"/>
      <c r="E44" s="11"/>
    </row>
    <row r="45" spans="2:7" x14ac:dyDescent="0.35">
      <c r="B45" s="1"/>
    </row>
    <row r="46" spans="2:7" x14ac:dyDescent="0.35">
      <c r="B46" s="43"/>
      <c r="C46" s="44" t="s">
        <v>129</v>
      </c>
      <c r="D46" s="45" t="s">
        <v>10</v>
      </c>
      <c r="E46" s="45" t="s">
        <v>11</v>
      </c>
      <c r="F46" s="45" t="s">
        <v>12</v>
      </c>
      <c r="G46" s="45" t="s">
        <v>13</v>
      </c>
    </row>
    <row r="47" spans="2:7" ht="17.5" x14ac:dyDescent="0.35">
      <c r="B47" s="15">
        <v>3.9</v>
      </c>
      <c r="C47" s="27" t="s">
        <v>159</v>
      </c>
      <c r="D47" s="8"/>
      <c r="E47" s="9"/>
      <c r="F47" s="2"/>
      <c r="G47" s="2"/>
    </row>
    <row r="48" spans="2:7" ht="17.5" x14ac:dyDescent="0.35">
      <c r="B48" s="15"/>
      <c r="C48" s="27" t="s">
        <v>160</v>
      </c>
      <c r="D48" s="8"/>
      <c r="E48" s="9"/>
      <c r="F48" s="2"/>
      <c r="G48" s="9"/>
    </row>
    <row r="49" spans="2:7" ht="17.5" x14ac:dyDescent="0.35">
      <c r="B49" s="12">
        <v>1</v>
      </c>
      <c r="C49" s="16" t="s">
        <v>161</v>
      </c>
      <c r="D49" s="10" t="s">
        <v>4</v>
      </c>
      <c r="E49" s="9"/>
      <c r="F49" s="2"/>
      <c r="G49" s="2"/>
    </row>
    <row r="50" spans="2:7" ht="17.5" x14ac:dyDescent="0.35">
      <c r="B50" s="12">
        <v>2</v>
      </c>
      <c r="C50" s="16" t="s">
        <v>162</v>
      </c>
      <c r="D50" s="10" t="s">
        <v>4</v>
      </c>
      <c r="E50" s="9"/>
      <c r="F50" s="2"/>
      <c r="G50" s="2"/>
    </row>
    <row r="51" spans="2:7" ht="17.5" x14ac:dyDescent="0.35">
      <c r="B51" s="12">
        <v>3</v>
      </c>
      <c r="C51" s="16" t="s">
        <v>163</v>
      </c>
      <c r="D51" s="10" t="s">
        <v>4</v>
      </c>
      <c r="E51" s="9"/>
      <c r="F51" s="2"/>
      <c r="G51" s="2"/>
    </row>
    <row r="52" spans="2:7" ht="17.5" x14ac:dyDescent="0.35">
      <c r="B52" s="12">
        <v>4</v>
      </c>
      <c r="C52" s="16" t="s">
        <v>164</v>
      </c>
      <c r="D52" s="10" t="s">
        <v>4</v>
      </c>
      <c r="E52" s="9"/>
      <c r="F52" s="2"/>
      <c r="G52" s="2"/>
    </row>
    <row r="53" spans="2:7" ht="17.5" x14ac:dyDescent="0.35">
      <c r="B53" s="12">
        <v>5</v>
      </c>
      <c r="C53" s="16" t="s">
        <v>165</v>
      </c>
      <c r="D53" s="10" t="s">
        <v>4</v>
      </c>
      <c r="E53" s="9"/>
      <c r="F53" s="2"/>
      <c r="G53" s="2"/>
    </row>
    <row r="54" spans="2:7" ht="351" customHeight="1" x14ac:dyDescent="0.35">
      <c r="B54" s="12">
        <v>7</v>
      </c>
      <c r="C54" s="16" t="s">
        <v>166</v>
      </c>
      <c r="D54" s="10" t="s">
        <v>4</v>
      </c>
      <c r="E54" s="9" t="s">
        <v>167</v>
      </c>
      <c r="F54" s="2"/>
      <c r="G54" s="2"/>
    </row>
    <row r="55" spans="2:7" ht="17.5" x14ac:dyDescent="0.35">
      <c r="B55" s="12"/>
      <c r="C55" s="19" t="s">
        <v>168</v>
      </c>
      <c r="D55" s="10"/>
      <c r="E55" s="9"/>
      <c r="F55" s="2"/>
      <c r="G55" s="2"/>
    </row>
    <row r="56" spans="2:7" ht="17.5" x14ac:dyDescent="0.35">
      <c r="B56" s="12">
        <v>1</v>
      </c>
      <c r="C56" s="16" t="s">
        <v>161</v>
      </c>
      <c r="D56" s="10" t="s">
        <v>4</v>
      </c>
      <c r="E56" s="9"/>
      <c r="F56" s="2"/>
      <c r="G56" s="2"/>
    </row>
    <row r="57" spans="2:7" ht="17.5" x14ac:dyDescent="0.35">
      <c r="B57" s="12">
        <v>2</v>
      </c>
      <c r="C57" s="16" t="s">
        <v>162</v>
      </c>
      <c r="D57" s="10" t="s">
        <v>4</v>
      </c>
      <c r="E57" s="9"/>
      <c r="F57" s="2"/>
      <c r="G57" s="2"/>
    </row>
    <row r="58" spans="2:7" ht="130.5" x14ac:dyDescent="0.35">
      <c r="B58" s="12">
        <v>3</v>
      </c>
      <c r="C58" s="16" t="s">
        <v>169</v>
      </c>
      <c r="D58" s="10" t="s">
        <v>4</v>
      </c>
      <c r="E58" s="9" t="s">
        <v>170</v>
      </c>
      <c r="F58" s="2"/>
      <c r="G58" s="2"/>
    </row>
    <row r="59" spans="2:7" ht="17.5" x14ac:dyDescent="0.35">
      <c r="B59" s="12">
        <v>4</v>
      </c>
      <c r="C59" s="16" t="s">
        <v>171</v>
      </c>
      <c r="D59" s="10" t="s">
        <v>4</v>
      </c>
      <c r="E59" s="9"/>
      <c r="F59" s="2"/>
      <c r="G59" s="2"/>
    </row>
    <row r="60" spans="2:7" ht="17.5" x14ac:dyDescent="0.35">
      <c r="B60" s="12">
        <v>5</v>
      </c>
      <c r="C60" s="16" t="s">
        <v>172</v>
      </c>
      <c r="D60" s="10" t="s">
        <v>4</v>
      </c>
      <c r="E60" s="9"/>
      <c r="F60" s="2"/>
      <c r="G60" s="2"/>
    </row>
    <row r="61" spans="2:7" ht="275.5" x14ac:dyDescent="0.35">
      <c r="B61" s="12">
        <v>6</v>
      </c>
      <c r="C61" s="37" t="s">
        <v>166</v>
      </c>
      <c r="D61" s="40" t="s">
        <v>6</v>
      </c>
      <c r="E61" s="38" t="s">
        <v>173</v>
      </c>
      <c r="F61" s="2"/>
      <c r="G61" s="42" t="s">
        <v>174</v>
      </c>
    </row>
    <row r="62" spans="2:7" ht="17.5" x14ac:dyDescent="0.35">
      <c r="B62" s="12">
        <v>7</v>
      </c>
      <c r="C62" s="16" t="s">
        <v>175</v>
      </c>
      <c r="D62" s="39" t="s">
        <v>4</v>
      </c>
      <c r="E62" s="9"/>
      <c r="F62" s="2"/>
      <c r="G62" s="2"/>
    </row>
    <row r="63" spans="2:7" ht="29" x14ac:dyDescent="0.35">
      <c r="B63" s="12">
        <v>8</v>
      </c>
      <c r="C63" s="16" t="s">
        <v>176</v>
      </c>
      <c r="D63" s="10" t="s">
        <v>4</v>
      </c>
      <c r="E63" s="9" t="s">
        <v>177</v>
      </c>
      <c r="F63" s="2"/>
      <c r="G63" s="2"/>
    </row>
    <row r="64" spans="2:7" ht="17.5" x14ac:dyDescent="0.35">
      <c r="B64" s="20"/>
      <c r="C64" s="21"/>
      <c r="D64" s="22"/>
      <c r="E64" s="11"/>
    </row>
    <row r="65" spans="2:7" ht="17.5" x14ac:dyDescent="0.35">
      <c r="C65" s="13"/>
      <c r="D65" s="14"/>
      <c r="E65" s="11"/>
    </row>
    <row r="66" spans="2:7" x14ac:dyDescent="0.35">
      <c r="B66" s="43"/>
      <c r="C66" s="44" t="s">
        <v>129</v>
      </c>
      <c r="D66" s="45" t="s">
        <v>10</v>
      </c>
      <c r="E66" s="45" t="s">
        <v>11</v>
      </c>
      <c r="F66" s="46" t="s">
        <v>12</v>
      </c>
      <c r="G66" s="45" t="s">
        <v>13</v>
      </c>
    </row>
    <row r="67" spans="2:7" ht="17.5" x14ac:dyDescent="0.35">
      <c r="B67" s="15">
        <v>3.4</v>
      </c>
      <c r="C67" s="27" t="s">
        <v>178</v>
      </c>
      <c r="D67" s="8"/>
      <c r="E67" s="9"/>
      <c r="F67" s="2"/>
      <c r="G67" s="2"/>
    </row>
    <row r="68" spans="2:7" ht="17.5" x14ac:dyDescent="0.35">
      <c r="B68" s="12"/>
      <c r="C68" s="18" t="s">
        <v>179</v>
      </c>
      <c r="D68" s="10"/>
      <c r="E68" s="9"/>
      <c r="F68" s="2"/>
      <c r="G68" s="9"/>
    </row>
    <row r="69" spans="2:7" ht="17.5" x14ac:dyDescent="0.35">
      <c r="B69" s="12">
        <v>1</v>
      </c>
      <c r="C69" s="16" t="s">
        <v>180</v>
      </c>
      <c r="D69" s="10" t="s">
        <v>4</v>
      </c>
      <c r="E69" s="9"/>
      <c r="F69" s="2"/>
      <c r="G69" s="2"/>
    </row>
    <row r="70" spans="2:7" ht="43.5" x14ac:dyDescent="0.35">
      <c r="B70" s="12">
        <v>2</v>
      </c>
      <c r="C70" s="16" t="s">
        <v>181</v>
      </c>
      <c r="D70" s="10" t="s">
        <v>4</v>
      </c>
      <c r="E70" s="9" t="s">
        <v>182</v>
      </c>
      <c r="F70" s="2"/>
      <c r="G70" s="2"/>
    </row>
    <row r="71" spans="2:7" ht="17.5" x14ac:dyDescent="0.35">
      <c r="B71" s="31"/>
      <c r="C71" s="35" t="s">
        <v>183</v>
      </c>
      <c r="D71" s="32"/>
      <c r="E71" s="33"/>
      <c r="F71" s="2"/>
      <c r="G71" s="2"/>
    </row>
    <row r="72" spans="2:7" ht="17.5" x14ac:dyDescent="0.35">
      <c r="B72" s="12">
        <v>1</v>
      </c>
      <c r="C72" s="16" t="s">
        <v>184</v>
      </c>
      <c r="D72" s="10" t="s">
        <v>4</v>
      </c>
      <c r="E72" s="9"/>
      <c r="F72" s="2"/>
      <c r="G72" s="2"/>
    </row>
    <row r="73" spans="2:7" ht="17.5" x14ac:dyDescent="0.35">
      <c r="B73" s="12">
        <v>2</v>
      </c>
      <c r="C73" s="16" t="s">
        <v>185</v>
      </c>
      <c r="D73" s="10" t="s">
        <v>4</v>
      </c>
      <c r="E73" s="9"/>
      <c r="F73" s="2"/>
      <c r="G73" s="2"/>
    </row>
    <row r="74" spans="2:7" ht="17.5" x14ac:dyDescent="0.35">
      <c r="B74" s="12">
        <v>3</v>
      </c>
      <c r="C74" s="16" t="s">
        <v>186</v>
      </c>
      <c r="D74" s="10" t="s">
        <v>4</v>
      </c>
      <c r="E74" s="9"/>
      <c r="F74" s="2"/>
      <c r="G74" s="2"/>
    </row>
    <row r="75" spans="2:7" ht="63" customHeight="1" x14ac:dyDescent="0.35">
      <c r="B75" s="12">
        <v>4</v>
      </c>
      <c r="C75" s="16" t="s">
        <v>187</v>
      </c>
      <c r="D75" s="10" t="s">
        <v>4</v>
      </c>
      <c r="E75" s="9" t="s">
        <v>188</v>
      </c>
      <c r="F75" s="2"/>
      <c r="G75" s="2"/>
    </row>
    <row r="76" spans="2:7" ht="36.75" customHeight="1" x14ac:dyDescent="0.35">
      <c r="B76" s="12">
        <v>5</v>
      </c>
      <c r="C76" s="16" t="s">
        <v>189</v>
      </c>
      <c r="D76" s="10" t="s">
        <v>4</v>
      </c>
      <c r="E76" s="9"/>
      <c r="F76" s="2"/>
      <c r="G76" s="2"/>
    </row>
    <row r="77" spans="2:7" ht="17.5" x14ac:dyDescent="0.35">
      <c r="B77" s="20"/>
      <c r="C77" s="21"/>
      <c r="D77" s="14"/>
      <c r="E77" s="11"/>
    </row>
    <row r="79" spans="2:7" x14ac:dyDescent="0.35">
      <c r="B79" s="43"/>
      <c r="C79" s="44" t="s">
        <v>129</v>
      </c>
      <c r="D79" s="45" t="s">
        <v>10</v>
      </c>
      <c r="E79" s="45" t="s">
        <v>11</v>
      </c>
      <c r="F79" s="45" t="s">
        <v>12</v>
      </c>
      <c r="G79" s="45" t="s">
        <v>13</v>
      </c>
    </row>
    <row r="80" spans="2:7" ht="17.5" x14ac:dyDescent="0.35">
      <c r="B80" s="15">
        <v>3.5</v>
      </c>
      <c r="C80" s="27" t="s">
        <v>190</v>
      </c>
      <c r="D80" s="8"/>
      <c r="E80" s="9"/>
      <c r="F80" s="2"/>
      <c r="G80" s="2"/>
    </row>
    <row r="81" spans="2:7" ht="17.5" x14ac:dyDescent="0.35">
      <c r="B81" s="12"/>
      <c r="C81" s="18" t="s">
        <v>191</v>
      </c>
      <c r="D81" s="10"/>
      <c r="E81" s="9"/>
      <c r="F81" s="2"/>
      <c r="G81" s="9"/>
    </row>
    <row r="82" spans="2:7" ht="31" x14ac:dyDescent="0.35">
      <c r="B82" s="12">
        <v>1</v>
      </c>
      <c r="C82" s="24" t="s">
        <v>192</v>
      </c>
      <c r="D82" s="10" t="s">
        <v>4</v>
      </c>
      <c r="E82" s="9"/>
      <c r="F82" s="2"/>
      <c r="G82" s="2"/>
    </row>
    <row r="83" spans="2:7" ht="31" x14ac:dyDescent="0.35">
      <c r="B83" s="12">
        <v>2</v>
      </c>
      <c r="C83" s="24" t="s">
        <v>193</v>
      </c>
      <c r="D83" s="10" t="s">
        <v>4</v>
      </c>
      <c r="E83" s="9" t="s">
        <v>194</v>
      </c>
      <c r="F83" s="2"/>
      <c r="G83" s="2"/>
    </row>
    <row r="84" spans="2:7" ht="17.5" x14ac:dyDescent="0.35">
      <c r="B84" s="12"/>
      <c r="C84" s="23"/>
      <c r="D84" s="17"/>
      <c r="E84" s="9"/>
      <c r="F84" s="2"/>
      <c r="G84" s="2"/>
    </row>
    <row r="85" spans="2:7" ht="17.5" x14ac:dyDescent="0.35">
      <c r="B85" s="20"/>
      <c r="C85" s="28"/>
      <c r="D85" s="14"/>
      <c r="E85" s="11"/>
    </row>
    <row r="86" spans="2:7" ht="17.5" x14ac:dyDescent="0.35">
      <c r="B86" s="20"/>
      <c r="C86" s="28"/>
      <c r="D86" s="14"/>
      <c r="E86" s="11"/>
    </row>
    <row r="87" spans="2:7" x14ac:dyDescent="0.35">
      <c r="B87" s="1"/>
    </row>
    <row r="88" spans="2:7" x14ac:dyDescent="0.35">
      <c r="B88" s="43"/>
      <c r="C88" s="44" t="s">
        <v>129</v>
      </c>
      <c r="D88" s="45" t="s">
        <v>10</v>
      </c>
      <c r="E88" s="45" t="s">
        <v>11</v>
      </c>
      <c r="F88" s="45" t="s">
        <v>12</v>
      </c>
      <c r="G88" s="45" t="s">
        <v>13</v>
      </c>
    </row>
    <row r="89" spans="2:7" ht="17.5" x14ac:dyDescent="0.35">
      <c r="B89" s="34">
        <v>3.1</v>
      </c>
      <c r="C89" s="27" t="s">
        <v>195</v>
      </c>
      <c r="D89" s="8"/>
      <c r="E89" s="9"/>
      <c r="F89" s="2"/>
      <c r="G89" s="2"/>
    </row>
    <row r="90" spans="2:7" ht="17.5" x14ac:dyDescent="0.35">
      <c r="B90" s="12"/>
      <c r="C90" s="18" t="s">
        <v>196</v>
      </c>
      <c r="D90" s="10"/>
      <c r="E90" s="9"/>
      <c r="F90" s="2"/>
      <c r="G90" s="9"/>
    </row>
    <row r="91" spans="2:7" ht="17.5" x14ac:dyDescent="0.35">
      <c r="B91" s="12">
        <v>1</v>
      </c>
      <c r="C91" s="24" t="s">
        <v>197</v>
      </c>
      <c r="D91" s="10" t="s">
        <v>4</v>
      </c>
      <c r="E91" s="9"/>
      <c r="F91" s="2"/>
      <c r="G91" s="2"/>
    </row>
    <row r="92" spans="2:7" ht="17.5" x14ac:dyDescent="0.35">
      <c r="B92" s="12">
        <v>2</v>
      </c>
      <c r="C92" s="24" t="s">
        <v>198</v>
      </c>
      <c r="D92" s="10" t="s">
        <v>4</v>
      </c>
      <c r="E92" s="9" t="s">
        <v>194</v>
      </c>
      <c r="F92" s="2"/>
      <c r="G92" s="2"/>
    </row>
    <row r="93" spans="2:7" ht="17.5" x14ac:dyDescent="0.35">
      <c r="B93" s="12"/>
      <c r="C93" s="23"/>
      <c r="D93" s="17"/>
      <c r="E93" s="9"/>
      <c r="F93" s="2"/>
      <c r="G93" s="2"/>
    </row>
    <row r="94" spans="2:7" ht="17.5" x14ac:dyDescent="0.35">
      <c r="B94" s="20"/>
      <c r="C94" s="28"/>
      <c r="D94" s="14"/>
      <c r="E94" s="11"/>
    </row>
    <row r="95" spans="2:7" ht="17.5" x14ac:dyDescent="0.35">
      <c r="B95" s="20"/>
      <c r="C95" s="28"/>
      <c r="D95" s="14"/>
      <c r="E95" s="11"/>
    </row>
    <row r="96" spans="2:7" x14ac:dyDescent="0.35">
      <c r="B96" s="43"/>
      <c r="C96" s="44" t="s">
        <v>129</v>
      </c>
      <c r="D96" s="45" t="s">
        <v>10</v>
      </c>
      <c r="E96" s="45" t="s">
        <v>11</v>
      </c>
      <c r="F96" s="45" t="s">
        <v>12</v>
      </c>
      <c r="G96" s="45" t="s">
        <v>13</v>
      </c>
    </row>
    <row r="97" spans="2:7" ht="17.5" x14ac:dyDescent="0.35">
      <c r="B97" s="15">
        <v>3.2</v>
      </c>
      <c r="C97" s="27" t="s">
        <v>199</v>
      </c>
      <c r="D97" s="8"/>
      <c r="E97" s="9"/>
      <c r="F97" s="2"/>
      <c r="G97" s="2"/>
    </row>
    <row r="98" spans="2:7" ht="17.5" x14ac:dyDescent="0.35">
      <c r="B98" s="12"/>
      <c r="C98" s="18" t="s">
        <v>200</v>
      </c>
      <c r="D98" s="10"/>
      <c r="E98" s="9"/>
      <c r="F98" s="2"/>
      <c r="G98" s="9"/>
    </row>
    <row r="99" spans="2:7" ht="17.5" x14ac:dyDescent="0.35">
      <c r="B99" s="12">
        <v>1</v>
      </c>
      <c r="C99" s="16" t="s">
        <v>201</v>
      </c>
      <c r="D99" s="10" t="s">
        <v>4</v>
      </c>
      <c r="E99" s="9"/>
      <c r="F99" s="2"/>
      <c r="G99" s="2"/>
    </row>
    <row r="100" spans="2:7" ht="17.5" x14ac:dyDescent="0.35">
      <c r="B100" s="12">
        <v>2</v>
      </c>
      <c r="C100" s="16" t="s">
        <v>202</v>
      </c>
      <c r="D100" s="10" t="s">
        <v>4</v>
      </c>
      <c r="E100" s="9"/>
      <c r="F100" s="2"/>
      <c r="G100" s="2"/>
    </row>
    <row r="101" spans="2:7" ht="17.5" x14ac:dyDescent="0.35">
      <c r="B101" s="31">
        <v>3</v>
      </c>
      <c r="C101" s="16" t="s">
        <v>203</v>
      </c>
      <c r="D101" s="10" t="s">
        <v>4</v>
      </c>
      <c r="E101" s="33"/>
      <c r="F101" s="2"/>
      <c r="G101" s="2"/>
    </row>
    <row r="102" spans="2:7" ht="17.5" x14ac:dyDescent="0.35">
      <c r="B102" s="12">
        <v>4</v>
      </c>
      <c r="C102" s="16" t="s">
        <v>204</v>
      </c>
      <c r="D102" s="10" t="s">
        <v>4</v>
      </c>
      <c r="E102" s="9"/>
      <c r="F102" s="2"/>
      <c r="G102" s="2"/>
    </row>
    <row r="103" spans="2:7" ht="17.5" x14ac:dyDescent="0.35">
      <c r="B103" s="12"/>
      <c r="C103" s="16"/>
      <c r="D103" s="10"/>
      <c r="E103" s="9"/>
      <c r="F103" s="2"/>
      <c r="G103" s="2"/>
    </row>
    <row r="104" spans="2:7" ht="17.5" x14ac:dyDescent="0.35">
      <c r="B104" s="20"/>
      <c r="C104" s="28"/>
      <c r="D104" s="14"/>
      <c r="E104" s="11"/>
    </row>
    <row r="106" spans="2:7" x14ac:dyDescent="0.35">
      <c r="B106" s="43"/>
      <c r="C106" s="44" t="s">
        <v>129</v>
      </c>
      <c r="D106" s="45" t="s">
        <v>10</v>
      </c>
      <c r="E106" s="45" t="s">
        <v>11</v>
      </c>
      <c r="F106" s="45" t="s">
        <v>12</v>
      </c>
      <c r="G106" s="45" t="s">
        <v>13</v>
      </c>
    </row>
    <row r="107" spans="2:7" ht="17.5" x14ac:dyDescent="0.35">
      <c r="B107" s="15">
        <v>3.3</v>
      </c>
      <c r="C107" s="27" t="s">
        <v>205</v>
      </c>
      <c r="D107" s="8"/>
      <c r="E107" s="9"/>
      <c r="F107" s="2"/>
      <c r="G107" s="2"/>
    </row>
    <row r="108" spans="2:7" ht="17.5" x14ac:dyDescent="0.35">
      <c r="B108" s="12"/>
      <c r="C108" s="18" t="s">
        <v>206</v>
      </c>
      <c r="D108" s="10"/>
      <c r="E108" s="9"/>
      <c r="F108" s="2"/>
      <c r="G108" s="9"/>
    </row>
    <row r="109" spans="2:7" ht="17.5" x14ac:dyDescent="0.35">
      <c r="B109" s="12">
        <v>1</v>
      </c>
      <c r="C109" s="16" t="s">
        <v>207</v>
      </c>
      <c r="D109" s="10" t="s">
        <v>4</v>
      </c>
      <c r="E109" s="9"/>
      <c r="F109" s="2"/>
      <c r="G109" s="2"/>
    </row>
    <row r="110" spans="2:7" ht="17.5" x14ac:dyDescent="0.35">
      <c r="B110" s="12">
        <v>2</v>
      </c>
      <c r="C110" s="16" t="s">
        <v>208</v>
      </c>
      <c r="D110" s="10" t="s">
        <v>4</v>
      </c>
      <c r="E110" s="9"/>
      <c r="F110" s="2"/>
      <c r="G110" s="2"/>
    </row>
    <row r="111" spans="2:7" ht="17.5" x14ac:dyDescent="0.35">
      <c r="B111" s="31">
        <v>3</v>
      </c>
      <c r="C111" s="16" t="s">
        <v>209</v>
      </c>
      <c r="D111" s="10" t="s">
        <v>4</v>
      </c>
      <c r="E111" s="33"/>
      <c r="F111" s="2"/>
      <c r="G111" s="2"/>
    </row>
    <row r="112" spans="2:7" ht="17.5" x14ac:dyDescent="0.35">
      <c r="B112" s="12"/>
      <c r="C112" s="16"/>
      <c r="D112" s="10"/>
      <c r="E112" s="9"/>
      <c r="F112" s="2"/>
      <c r="G112" s="2"/>
    </row>
    <row r="115" spans="2:7" x14ac:dyDescent="0.35">
      <c r="B115" s="43"/>
      <c r="C115" s="44" t="s">
        <v>129</v>
      </c>
      <c r="D115" s="45" t="s">
        <v>10</v>
      </c>
      <c r="E115" s="45" t="s">
        <v>11</v>
      </c>
      <c r="F115" s="45" t="s">
        <v>12</v>
      </c>
      <c r="G115" s="45" t="s">
        <v>13</v>
      </c>
    </row>
    <row r="116" spans="2:7" ht="17.5" x14ac:dyDescent="0.35">
      <c r="B116" s="15">
        <v>3.12</v>
      </c>
      <c r="C116" s="27" t="s">
        <v>210</v>
      </c>
      <c r="D116" s="8"/>
      <c r="E116" s="9"/>
      <c r="F116" s="2"/>
      <c r="G116" s="2"/>
    </row>
    <row r="117" spans="2:7" ht="17.5" x14ac:dyDescent="0.35">
      <c r="B117" s="12"/>
      <c r="C117" s="18" t="s">
        <v>211</v>
      </c>
      <c r="D117" s="10"/>
      <c r="E117" s="9"/>
      <c r="F117" s="2"/>
      <c r="G117" s="9"/>
    </row>
    <row r="118" spans="2:7" ht="17.5" x14ac:dyDescent="0.35">
      <c r="B118" s="12">
        <v>1</v>
      </c>
      <c r="C118" s="16" t="s">
        <v>212</v>
      </c>
      <c r="D118" s="10" t="s">
        <v>4</v>
      </c>
      <c r="E118" s="9"/>
      <c r="F118" s="2"/>
      <c r="G118" s="2"/>
    </row>
    <row r="119" spans="2:7" ht="17.5" x14ac:dyDescent="0.35">
      <c r="B119" s="12">
        <v>2</v>
      </c>
      <c r="C119" s="16" t="s">
        <v>213</v>
      </c>
      <c r="D119" s="10" t="s">
        <v>4</v>
      </c>
      <c r="E119" s="9"/>
      <c r="F119" s="2"/>
      <c r="G119" s="2"/>
    </row>
    <row r="120" spans="2:7" ht="43.5" x14ac:dyDescent="0.35">
      <c r="B120" s="31">
        <v>3</v>
      </c>
      <c r="C120" s="16" t="s">
        <v>214</v>
      </c>
      <c r="D120" s="10" t="s">
        <v>4</v>
      </c>
      <c r="E120" s="33" t="s">
        <v>215</v>
      </c>
      <c r="F120" s="2"/>
      <c r="G120" s="2"/>
    </row>
    <row r="121" spans="2:7" ht="30" customHeight="1" x14ac:dyDescent="0.35">
      <c r="B121" s="12"/>
      <c r="C121" s="16"/>
      <c r="D121" s="10"/>
      <c r="E121" s="9"/>
      <c r="F121" s="2"/>
      <c r="G121" s="2"/>
    </row>
    <row r="124" spans="2:7" x14ac:dyDescent="0.35">
      <c r="B124" s="43"/>
      <c r="C124" s="44" t="s">
        <v>129</v>
      </c>
      <c r="D124" s="45" t="s">
        <v>10</v>
      </c>
      <c r="E124" s="45" t="s">
        <v>11</v>
      </c>
      <c r="F124" s="45" t="s">
        <v>12</v>
      </c>
      <c r="G124" s="45" t="s">
        <v>13</v>
      </c>
    </row>
    <row r="125" spans="2:7" ht="17.5" x14ac:dyDescent="0.35">
      <c r="B125" s="15">
        <v>3.6</v>
      </c>
      <c r="C125" s="27" t="s">
        <v>216</v>
      </c>
      <c r="D125" s="8"/>
      <c r="E125" s="9"/>
      <c r="F125" s="2"/>
      <c r="G125" s="2"/>
    </row>
    <row r="126" spans="2:7" ht="17.5" x14ac:dyDescent="0.35">
      <c r="B126" s="12"/>
      <c r="C126" s="18" t="s">
        <v>217</v>
      </c>
      <c r="D126" s="10"/>
      <c r="E126" s="9"/>
      <c r="F126" s="2"/>
      <c r="G126" s="9"/>
    </row>
    <row r="127" spans="2:7" ht="17.5" x14ac:dyDescent="0.35">
      <c r="B127" s="12">
        <v>1</v>
      </c>
      <c r="C127" s="16" t="s">
        <v>218</v>
      </c>
      <c r="D127" s="10" t="s">
        <v>4</v>
      </c>
      <c r="E127" s="9"/>
      <c r="F127" s="2"/>
      <c r="G127" s="2"/>
    </row>
    <row r="128" spans="2:7" ht="17.5" x14ac:dyDescent="0.35">
      <c r="B128" s="12">
        <v>2</v>
      </c>
      <c r="C128" s="36" t="s">
        <v>219</v>
      </c>
      <c r="D128" s="10"/>
      <c r="E128" s="9" t="s">
        <v>220</v>
      </c>
      <c r="F128" s="2"/>
      <c r="G128" s="2"/>
    </row>
    <row r="129" spans="2:7" ht="17.5" x14ac:dyDescent="0.35">
      <c r="B129" s="31"/>
      <c r="C129" s="16"/>
      <c r="D129" s="10"/>
      <c r="E129" s="33"/>
      <c r="F129" s="2"/>
      <c r="G129" s="2"/>
    </row>
    <row r="130" spans="2:7" ht="17.5" x14ac:dyDescent="0.35">
      <c r="B130" s="12"/>
      <c r="C130" s="16"/>
      <c r="D130" s="10"/>
      <c r="E130" s="9"/>
      <c r="F130" s="2"/>
      <c r="G130" s="2"/>
    </row>
    <row r="133" spans="2:7" x14ac:dyDescent="0.35">
      <c r="B133" s="1"/>
    </row>
    <row r="134" spans="2:7" x14ac:dyDescent="0.35">
      <c r="B134" s="43"/>
      <c r="C134" s="44" t="s">
        <v>129</v>
      </c>
      <c r="D134" s="45" t="s">
        <v>10</v>
      </c>
      <c r="E134" s="45" t="s">
        <v>11</v>
      </c>
      <c r="F134" s="45" t="s">
        <v>12</v>
      </c>
      <c r="G134" s="45" t="s">
        <v>13</v>
      </c>
    </row>
    <row r="135" spans="2:7" ht="17.5" x14ac:dyDescent="0.35">
      <c r="B135" s="34">
        <v>3.1</v>
      </c>
      <c r="C135" s="27" t="s">
        <v>195</v>
      </c>
      <c r="D135" s="8"/>
      <c r="E135" s="9"/>
      <c r="F135" s="2"/>
      <c r="G135" s="2"/>
    </row>
    <row r="136" spans="2:7" ht="17.5" x14ac:dyDescent="0.35">
      <c r="B136" s="12"/>
      <c r="C136" s="18" t="s">
        <v>196</v>
      </c>
      <c r="D136" s="10"/>
      <c r="E136" s="9"/>
      <c r="F136" s="2"/>
      <c r="G136" s="9"/>
    </row>
    <row r="137" spans="2:7" ht="17.5" x14ac:dyDescent="0.35">
      <c r="B137" s="12">
        <v>1</v>
      </c>
      <c r="C137" s="24" t="s">
        <v>221</v>
      </c>
      <c r="D137" s="10" t="s">
        <v>4</v>
      </c>
      <c r="E137" s="9"/>
      <c r="F137" s="2"/>
      <c r="G137" s="2"/>
    </row>
    <row r="138" spans="2:7" ht="17.5" x14ac:dyDescent="0.35">
      <c r="B138" s="12">
        <v>2</v>
      </c>
      <c r="C138" s="24" t="s">
        <v>222</v>
      </c>
      <c r="D138" s="10" t="s">
        <v>4</v>
      </c>
      <c r="E138" s="9" t="s">
        <v>194</v>
      </c>
      <c r="F138" s="2"/>
      <c r="G138" s="2"/>
    </row>
    <row r="139" spans="2:7" ht="31" x14ac:dyDescent="0.35">
      <c r="B139" s="12">
        <v>3</v>
      </c>
      <c r="C139" s="24" t="s">
        <v>223</v>
      </c>
      <c r="D139" s="10" t="s">
        <v>4</v>
      </c>
      <c r="E139" s="9" t="s">
        <v>224</v>
      </c>
      <c r="F139" s="2"/>
      <c r="G139" s="2"/>
    </row>
    <row r="140" spans="2:7" ht="30" customHeight="1" x14ac:dyDescent="0.35">
      <c r="B140" s="12"/>
      <c r="C140" s="24"/>
      <c r="D140" s="17"/>
      <c r="E140" s="9"/>
      <c r="F140" s="2"/>
      <c r="G140" s="2"/>
    </row>
    <row r="141" spans="2:7" ht="18" customHeight="1" x14ac:dyDescent="0.35">
      <c r="B141" s="20"/>
      <c r="C141" s="41"/>
      <c r="D141" s="14"/>
      <c r="E141" s="11"/>
    </row>
    <row r="142" spans="2:7" ht="30" customHeight="1" x14ac:dyDescent="0.35"/>
    <row r="143" spans="2:7" ht="30" customHeight="1" x14ac:dyDescent="0.35">
      <c r="B143" s="43"/>
      <c r="C143" s="44" t="s">
        <v>129</v>
      </c>
      <c r="D143" s="45" t="s">
        <v>10</v>
      </c>
      <c r="E143" s="45" t="s">
        <v>11</v>
      </c>
      <c r="F143" s="45" t="s">
        <v>12</v>
      </c>
      <c r="G143" s="45" t="s">
        <v>13</v>
      </c>
    </row>
    <row r="144" spans="2:7" ht="17.5" x14ac:dyDescent="0.35">
      <c r="B144" s="15">
        <v>3.6</v>
      </c>
      <c r="C144" s="27" t="s">
        <v>216</v>
      </c>
      <c r="D144" s="8"/>
      <c r="E144" s="9"/>
      <c r="F144" s="2"/>
      <c r="G144" s="2"/>
    </row>
    <row r="145" spans="2:7" ht="17.5" x14ac:dyDescent="0.35">
      <c r="B145" s="12"/>
      <c r="C145" s="28" t="s">
        <v>217</v>
      </c>
      <c r="D145" s="10"/>
      <c r="E145" s="9"/>
      <c r="F145" s="2"/>
      <c r="G145" s="9"/>
    </row>
    <row r="146" spans="2:7" ht="17.5" x14ac:dyDescent="0.35">
      <c r="B146" s="12">
        <v>1</v>
      </c>
      <c r="C146" s="36" t="s">
        <v>225</v>
      </c>
      <c r="D146" s="10" t="s">
        <v>4</v>
      </c>
      <c r="E146" s="9"/>
      <c r="F146" s="2"/>
      <c r="G146" s="2"/>
    </row>
    <row r="147" spans="2:7" ht="17.5" x14ac:dyDescent="0.35">
      <c r="B147" s="12">
        <v>2</v>
      </c>
      <c r="C147" s="36" t="s">
        <v>219</v>
      </c>
      <c r="D147" s="10" t="s">
        <v>4</v>
      </c>
      <c r="E147" s="9"/>
      <c r="F147" s="2"/>
      <c r="G147" s="2"/>
    </row>
    <row r="148" spans="2:7" ht="17.5" x14ac:dyDescent="0.35">
      <c r="B148" s="12">
        <v>3</v>
      </c>
      <c r="C148" s="36" t="s">
        <v>226</v>
      </c>
      <c r="D148" s="10" t="s">
        <v>4</v>
      </c>
      <c r="E148" s="9"/>
      <c r="F148" s="2"/>
      <c r="G148" s="2"/>
    </row>
    <row r="149" spans="2:7" ht="183" customHeight="1" x14ac:dyDescent="0.35">
      <c r="B149" s="12">
        <v>4</v>
      </c>
      <c r="C149" s="36" t="s">
        <v>227</v>
      </c>
      <c r="D149" s="10" t="s">
        <v>4</v>
      </c>
      <c r="E149" s="9"/>
      <c r="F149" s="2"/>
      <c r="G149" s="2"/>
    </row>
    <row r="150" spans="2:7" ht="17.5" x14ac:dyDescent="0.35">
      <c r="B150" s="12">
        <v>5</v>
      </c>
      <c r="C150" s="36" t="s">
        <v>228</v>
      </c>
      <c r="D150" s="10" t="s">
        <v>4</v>
      </c>
      <c r="E150" s="9"/>
      <c r="F150" s="2"/>
      <c r="G150" s="2"/>
    </row>
    <row r="151" spans="2:7" ht="17.5" x14ac:dyDescent="0.35">
      <c r="B151" s="31">
        <v>6</v>
      </c>
      <c r="C151" s="36" t="s">
        <v>229</v>
      </c>
      <c r="D151" s="10" t="s">
        <v>4</v>
      </c>
      <c r="E151" s="33"/>
      <c r="F151" s="2"/>
      <c r="G151" s="2"/>
    </row>
    <row r="152" spans="2:7" ht="17.5" x14ac:dyDescent="0.35">
      <c r="B152" s="31">
        <v>7</v>
      </c>
      <c r="C152" s="36" t="s">
        <v>230</v>
      </c>
      <c r="D152" s="10" t="s">
        <v>4</v>
      </c>
      <c r="E152" s="33"/>
      <c r="F152" s="2"/>
      <c r="G152" s="2"/>
    </row>
    <row r="153" spans="2:7" ht="17.5" x14ac:dyDescent="0.35">
      <c r="B153" s="31">
        <v>8</v>
      </c>
      <c r="C153" s="36" t="s">
        <v>231</v>
      </c>
      <c r="D153" s="10" t="s">
        <v>4</v>
      </c>
      <c r="E153" s="33"/>
      <c r="F153" s="2"/>
      <c r="G153" s="2"/>
    </row>
    <row r="154" spans="2:7" ht="17.5" x14ac:dyDescent="0.35">
      <c r="B154" s="31">
        <v>9</v>
      </c>
      <c r="C154" s="36" t="s">
        <v>232</v>
      </c>
      <c r="D154" s="10" t="s">
        <v>4</v>
      </c>
      <c r="E154" s="33"/>
      <c r="F154" s="2"/>
      <c r="G154" s="2"/>
    </row>
    <row r="155" spans="2:7" ht="17.5" x14ac:dyDescent="0.35">
      <c r="B155" s="12">
        <v>10</v>
      </c>
      <c r="C155" s="36" t="s">
        <v>233</v>
      </c>
      <c r="D155" s="10" t="s">
        <v>4</v>
      </c>
      <c r="E155" s="9"/>
      <c r="F155" s="2"/>
      <c r="G155" s="2"/>
    </row>
    <row r="156" spans="2:7" ht="159.5" x14ac:dyDescent="0.35">
      <c r="B156" s="12">
        <v>11</v>
      </c>
      <c r="C156" s="36" t="s">
        <v>234</v>
      </c>
      <c r="D156" s="10"/>
      <c r="E156" s="9" t="s">
        <v>235</v>
      </c>
      <c r="F156" s="2"/>
      <c r="G156" s="2"/>
    </row>
    <row r="157" spans="2:7" ht="32.15" customHeight="1" x14ac:dyDescent="0.35">
      <c r="B157" s="12"/>
      <c r="C157" s="36"/>
      <c r="D157" s="10"/>
      <c r="E157" s="9"/>
      <c r="F157" s="2"/>
      <c r="G157" s="2"/>
    </row>
    <row r="160" spans="2:7" x14ac:dyDescent="0.35">
      <c r="B160" s="43"/>
      <c r="C160" s="44" t="s">
        <v>129</v>
      </c>
      <c r="D160" s="45" t="s">
        <v>10</v>
      </c>
      <c r="E160" s="45" t="s">
        <v>11</v>
      </c>
      <c r="F160" s="45" t="s">
        <v>12</v>
      </c>
      <c r="G160" s="45" t="s">
        <v>13</v>
      </c>
    </row>
    <row r="161" spans="2:7" ht="17.5" x14ac:dyDescent="0.35">
      <c r="B161" s="34">
        <v>3.13</v>
      </c>
      <c r="C161" s="27" t="s">
        <v>236</v>
      </c>
      <c r="D161" s="8"/>
      <c r="E161" s="9"/>
      <c r="F161" s="2"/>
      <c r="G161" s="2"/>
    </row>
    <row r="162" spans="2:7" ht="17.5" x14ac:dyDescent="0.35">
      <c r="B162" s="12"/>
      <c r="C162" s="18" t="s">
        <v>237</v>
      </c>
      <c r="D162" s="10"/>
      <c r="E162" s="9"/>
      <c r="F162" s="2"/>
      <c r="G162" s="9"/>
    </row>
    <row r="163" spans="2:7" ht="17.5" x14ac:dyDescent="0.35">
      <c r="B163" s="12">
        <v>1</v>
      </c>
      <c r="C163" s="24" t="s">
        <v>238</v>
      </c>
      <c r="D163" s="10" t="s">
        <v>4</v>
      </c>
      <c r="E163" s="9"/>
      <c r="F163" s="2"/>
      <c r="G163" s="2"/>
    </row>
    <row r="164" spans="2:7" ht="17.5" x14ac:dyDescent="0.35">
      <c r="B164" s="12">
        <v>2</v>
      </c>
      <c r="C164" s="24" t="s">
        <v>239</v>
      </c>
      <c r="D164" s="10" t="s">
        <v>4</v>
      </c>
      <c r="E164" s="9" t="s">
        <v>194</v>
      </c>
      <c r="F164" s="2"/>
      <c r="G164" s="2"/>
    </row>
    <row r="165" spans="2:7" ht="17.5" x14ac:dyDescent="0.35">
      <c r="B165" s="12">
        <v>3</v>
      </c>
      <c r="C165" s="24" t="s">
        <v>240</v>
      </c>
      <c r="D165" s="10" t="s">
        <v>4</v>
      </c>
      <c r="E165" s="9"/>
      <c r="F165" s="2"/>
      <c r="G165" s="2"/>
    </row>
    <row r="166" spans="2:7" ht="43.5" x14ac:dyDescent="0.35">
      <c r="B166" s="12">
        <v>4</v>
      </c>
      <c r="C166" s="36" t="s">
        <v>241</v>
      </c>
      <c r="D166" s="10" t="s">
        <v>4</v>
      </c>
      <c r="E166" s="9" t="s">
        <v>242</v>
      </c>
      <c r="F166" s="2"/>
      <c r="G166" s="2"/>
    </row>
    <row r="167" spans="2:7" ht="17.5" x14ac:dyDescent="0.35">
      <c r="B167" s="12">
        <v>5</v>
      </c>
      <c r="C167" s="24" t="s">
        <v>243</v>
      </c>
      <c r="D167" s="10" t="s">
        <v>4</v>
      </c>
      <c r="E167" s="9"/>
      <c r="F167" s="2"/>
      <c r="G167" s="2"/>
    </row>
    <row r="168" spans="2:7" ht="17.5" x14ac:dyDescent="0.35">
      <c r="B168" s="12">
        <v>6</v>
      </c>
      <c r="C168" s="24" t="s">
        <v>244</v>
      </c>
      <c r="D168" s="10" t="s">
        <v>4</v>
      </c>
      <c r="E168" s="9"/>
      <c r="F168" s="2"/>
      <c r="G168" s="2"/>
    </row>
    <row r="169" spans="2:7" ht="17.5" x14ac:dyDescent="0.35">
      <c r="B169" s="12">
        <v>7</v>
      </c>
      <c r="C169" s="24" t="s">
        <v>241</v>
      </c>
      <c r="D169" s="10" t="s">
        <v>4</v>
      </c>
      <c r="E169" s="9"/>
      <c r="F169" s="2"/>
      <c r="G169" s="2"/>
    </row>
    <row r="170" spans="2:7" ht="17.5" x14ac:dyDescent="0.35">
      <c r="B170" s="12">
        <v>8</v>
      </c>
      <c r="C170" s="24" t="s">
        <v>245</v>
      </c>
      <c r="D170" s="10" t="s">
        <v>4</v>
      </c>
      <c r="E170" s="9"/>
      <c r="F170" s="2"/>
      <c r="G170" s="2"/>
    </row>
    <row r="171" spans="2:7" ht="17.5" x14ac:dyDescent="0.35">
      <c r="B171" s="12">
        <v>9</v>
      </c>
      <c r="C171" s="24" t="s">
        <v>246</v>
      </c>
      <c r="D171" s="10" t="s">
        <v>4</v>
      </c>
      <c r="E171" s="9"/>
      <c r="F171" s="2"/>
      <c r="G171" s="2"/>
    </row>
    <row r="172" spans="2:7" ht="31" x14ac:dyDescent="0.35">
      <c r="B172" s="12">
        <v>10</v>
      </c>
      <c r="C172" s="24" t="s">
        <v>247</v>
      </c>
      <c r="D172" s="10" t="s">
        <v>4</v>
      </c>
      <c r="E172" s="9" t="s">
        <v>248</v>
      </c>
      <c r="F172" s="2"/>
      <c r="G172" s="2"/>
    </row>
    <row r="173" spans="2:7" ht="17.5" x14ac:dyDescent="0.35">
      <c r="B173" s="12"/>
      <c r="C173" s="24"/>
      <c r="D173" s="17"/>
      <c r="E173" s="9"/>
      <c r="F173" s="2"/>
      <c r="G173" s="2"/>
    </row>
    <row r="174" spans="2:7" ht="17.5" x14ac:dyDescent="0.35">
      <c r="B174" s="12"/>
      <c r="C174" s="24"/>
      <c r="D174" s="17"/>
      <c r="E174" s="9"/>
      <c r="F174" s="2"/>
      <c r="G174" s="2"/>
    </row>
    <row r="177" spans="2:7" x14ac:dyDescent="0.35">
      <c r="B177" s="1"/>
    </row>
    <row r="178" spans="2:7" x14ac:dyDescent="0.35">
      <c r="B178" s="43"/>
      <c r="C178" s="44" t="s">
        <v>129</v>
      </c>
      <c r="D178" s="45" t="s">
        <v>10</v>
      </c>
      <c r="E178" s="45" t="s">
        <v>11</v>
      </c>
      <c r="F178" s="45" t="s">
        <v>12</v>
      </c>
      <c r="G178" s="45" t="s">
        <v>13</v>
      </c>
    </row>
    <row r="179" spans="2:7" ht="17.5" x14ac:dyDescent="0.35">
      <c r="B179" s="34">
        <v>3.11</v>
      </c>
      <c r="C179" s="27" t="s">
        <v>249</v>
      </c>
      <c r="D179" s="8"/>
      <c r="E179" s="9"/>
      <c r="F179" s="2"/>
      <c r="G179" s="2"/>
    </row>
    <row r="180" spans="2:7" ht="17.5" x14ac:dyDescent="0.35">
      <c r="B180" s="12"/>
      <c r="C180" s="18" t="s">
        <v>250</v>
      </c>
      <c r="D180" s="10"/>
      <c r="E180" s="9"/>
      <c r="F180" s="2"/>
      <c r="G180" s="9"/>
    </row>
    <row r="181" spans="2:7" ht="17.5" x14ac:dyDescent="0.35">
      <c r="B181" s="12">
        <v>1</v>
      </c>
      <c r="C181" s="24" t="s">
        <v>251</v>
      </c>
      <c r="D181" s="10" t="s">
        <v>4</v>
      </c>
      <c r="E181" s="9"/>
      <c r="F181" s="2"/>
      <c r="G181" s="2"/>
    </row>
    <row r="182" spans="2:7" ht="17.5" x14ac:dyDescent="0.35">
      <c r="B182" s="12">
        <v>2</v>
      </c>
      <c r="C182" s="24" t="s">
        <v>252</v>
      </c>
      <c r="D182" s="10" t="s">
        <v>4</v>
      </c>
      <c r="E182" s="9"/>
      <c r="F182" s="2"/>
      <c r="G182" s="2"/>
    </row>
    <row r="183" spans="2:7" ht="17.5" x14ac:dyDescent="0.35">
      <c r="B183" s="12">
        <v>3</v>
      </c>
      <c r="C183" s="24" t="s">
        <v>253</v>
      </c>
      <c r="D183" s="10"/>
      <c r="E183" s="9"/>
      <c r="F183" s="2"/>
      <c r="G183" s="2"/>
    </row>
    <row r="184" spans="2:7" ht="72.5" x14ac:dyDescent="0.35">
      <c r="B184" s="12">
        <v>4</v>
      </c>
      <c r="C184" s="24" t="s">
        <v>254</v>
      </c>
      <c r="D184" s="10" t="s">
        <v>4</v>
      </c>
      <c r="E184" s="9" t="s">
        <v>255</v>
      </c>
      <c r="F184" s="2"/>
      <c r="G184" s="2"/>
    </row>
    <row r="185" spans="2:7" ht="17.5" x14ac:dyDescent="0.35">
      <c r="B185" s="12"/>
      <c r="C185" s="24"/>
      <c r="D185" s="17"/>
      <c r="E185" s="9"/>
      <c r="F185" s="2"/>
      <c r="G185" s="2"/>
    </row>
    <row r="188" spans="2:7" x14ac:dyDescent="0.35">
      <c r="B188" s="43"/>
      <c r="C188" s="44" t="s">
        <v>129</v>
      </c>
      <c r="D188" s="45" t="s">
        <v>10</v>
      </c>
      <c r="E188" s="45" t="s">
        <v>11</v>
      </c>
      <c r="F188" s="45" t="s">
        <v>12</v>
      </c>
      <c r="G188" s="45" t="s">
        <v>13</v>
      </c>
    </row>
    <row r="189" spans="2:7" ht="17.5" x14ac:dyDescent="0.35">
      <c r="B189" s="15">
        <v>3.14</v>
      </c>
      <c r="C189" s="27" t="s">
        <v>256</v>
      </c>
      <c r="D189" s="8"/>
      <c r="E189" s="9"/>
      <c r="F189" s="2"/>
      <c r="G189" s="2"/>
    </row>
    <row r="190" spans="2:7" ht="17.5" x14ac:dyDescent="0.35">
      <c r="B190" s="15"/>
      <c r="C190" s="27" t="s">
        <v>257</v>
      </c>
      <c r="D190" s="8"/>
      <c r="E190" s="9"/>
      <c r="F190" s="2"/>
      <c r="G190" s="9"/>
    </row>
    <row r="191" spans="2:7" ht="17.5" x14ac:dyDescent="0.35">
      <c r="B191" s="12">
        <v>1</v>
      </c>
      <c r="C191" s="16" t="s">
        <v>258</v>
      </c>
      <c r="D191" s="10" t="s">
        <v>4</v>
      </c>
      <c r="E191" s="9"/>
      <c r="F191" s="2"/>
      <c r="G191" s="2"/>
    </row>
    <row r="192" spans="2:7" ht="17.5" x14ac:dyDescent="0.35">
      <c r="B192" s="12">
        <v>2</v>
      </c>
      <c r="C192" s="16" t="s">
        <v>259</v>
      </c>
      <c r="D192" s="10" t="s">
        <v>4</v>
      </c>
      <c r="E192" s="9"/>
      <c r="F192" s="2"/>
      <c r="G192" s="2"/>
    </row>
    <row r="193" spans="2:7" ht="29" x14ac:dyDescent="0.35">
      <c r="B193" s="12">
        <v>3</v>
      </c>
      <c r="C193" s="16" t="s">
        <v>260</v>
      </c>
      <c r="D193" s="10" t="s">
        <v>4</v>
      </c>
      <c r="E193" s="9" t="s">
        <v>261</v>
      </c>
      <c r="F193" s="2"/>
      <c r="G193" s="2"/>
    </row>
    <row r="194" spans="2:7" ht="101.5" x14ac:dyDescent="0.35">
      <c r="B194" s="12">
        <v>4</v>
      </c>
      <c r="C194" s="16" t="s">
        <v>262</v>
      </c>
      <c r="D194" s="10" t="s">
        <v>6</v>
      </c>
      <c r="E194" s="9" t="s">
        <v>263</v>
      </c>
      <c r="F194" s="2"/>
      <c r="G194" s="2"/>
    </row>
    <row r="195" spans="2:7" ht="17.5" x14ac:dyDescent="0.35">
      <c r="B195" s="12"/>
      <c r="C195" s="16"/>
      <c r="D195" s="10"/>
      <c r="E195" s="9"/>
      <c r="F195" s="2"/>
      <c r="G195" s="2"/>
    </row>
    <row r="198" spans="2:7" x14ac:dyDescent="0.35">
      <c r="B198" s="43"/>
      <c r="C198" s="44" t="s">
        <v>129</v>
      </c>
      <c r="D198" s="45" t="s">
        <v>10</v>
      </c>
      <c r="E198" s="45" t="s">
        <v>11</v>
      </c>
      <c r="F198" s="45" t="s">
        <v>12</v>
      </c>
      <c r="G198" s="45" t="s">
        <v>13</v>
      </c>
    </row>
    <row r="199" spans="2:7" ht="17.5" x14ac:dyDescent="0.35">
      <c r="B199" s="15">
        <v>3.15</v>
      </c>
      <c r="C199" s="27" t="s">
        <v>236</v>
      </c>
      <c r="D199" s="8"/>
      <c r="E199" s="9"/>
      <c r="F199" s="2"/>
      <c r="G199" s="2"/>
    </row>
    <row r="200" spans="2:7" ht="17.5" x14ac:dyDescent="0.35">
      <c r="B200" s="15"/>
      <c r="C200" s="27" t="s">
        <v>264</v>
      </c>
      <c r="D200" s="8"/>
      <c r="E200" s="9"/>
      <c r="F200" s="2"/>
      <c r="G200" s="9"/>
    </row>
    <row r="201" spans="2:7" ht="17.5" x14ac:dyDescent="0.35">
      <c r="B201" s="12">
        <v>1</v>
      </c>
      <c r="C201" s="16" t="s">
        <v>265</v>
      </c>
      <c r="D201" s="10" t="s">
        <v>4</v>
      </c>
      <c r="E201" s="9"/>
      <c r="F201" s="2"/>
      <c r="G201" s="2"/>
    </row>
    <row r="202" spans="2:7" ht="17.5" x14ac:dyDescent="0.35">
      <c r="B202" s="12">
        <v>2</v>
      </c>
      <c r="C202" s="16" t="s">
        <v>266</v>
      </c>
      <c r="D202" s="10" t="s">
        <v>4</v>
      </c>
      <c r="E202" s="9"/>
      <c r="F202" s="2"/>
      <c r="G202" s="2"/>
    </row>
    <row r="203" spans="2:7" ht="17.5" x14ac:dyDescent="0.35">
      <c r="B203" s="12">
        <v>3</v>
      </c>
      <c r="C203" s="16" t="s">
        <v>267</v>
      </c>
      <c r="D203" s="10" t="s">
        <v>4</v>
      </c>
      <c r="E203" s="9"/>
      <c r="F203" s="2"/>
      <c r="G203" s="2"/>
    </row>
    <row r="204" spans="2:7" ht="43.5" x14ac:dyDescent="0.35">
      <c r="B204" s="12">
        <v>4</v>
      </c>
      <c r="C204" s="16" t="s">
        <v>268</v>
      </c>
      <c r="D204" s="10" t="s">
        <v>4</v>
      </c>
      <c r="E204" s="9" t="s">
        <v>269</v>
      </c>
      <c r="F204" s="2"/>
      <c r="G204" s="2"/>
    </row>
    <row r="205" spans="2:7" ht="17.5" x14ac:dyDescent="0.35">
      <c r="B205" s="12"/>
      <c r="C205" s="16"/>
      <c r="D205" s="10"/>
      <c r="E205" s="9"/>
      <c r="F205" s="2"/>
      <c r="G205" s="2"/>
    </row>
    <row r="208" spans="2:7" x14ac:dyDescent="0.35">
      <c r="B208" s="43"/>
      <c r="C208" s="44" t="s">
        <v>129</v>
      </c>
      <c r="D208" s="45" t="s">
        <v>10</v>
      </c>
      <c r="E208" s="45" t="s">
        <v>11</v>
      </c>
      <c r="F208" s="45" t="s">
        <v>12</v>
      </c>
      <c r="G208" s="45" t="s">
        <v>13</v>
      </c>
    </row>
    <row r="209" spans="2:7" ht="17.5" x14ac:dyDescent="0.35">
      <c r="B209" s="15">
        <v>3.8</v>
      </c>
      <c r="C209" s="27" t="s">
        <v>270</v>
      </c>
      <c r="D209" s="8"/>
      <c r="E209" s="9" t="s">
        <v>271</v>
      </c>
      <c r="F209" s="2"/>
      <c r="G209" s="2"/>
    </row>
    <row r="210" spans="2:7" ht="17.5" x14ac:dyDescent="0.35">
      <c r="B210" s="15"/>
      <c r="C210" s="27" t="s">
        <v>272</v>
      </c>
      <c r="D210" s="8"/>
      <c r="E210" s="9"/>
      <c r="F210" s="2"/>
      <c r="G210" s="9"/>
    </row>
    <row r="211" spans="2:7" ht="17.5" x14ac:dyDescent="0.35">
      <c r="B211" s="12">
        <v>1</v>
      </c>
      <c r="C211" s="16" t="s">
        <v>273</v>
      </c>
      <c r="D211" s="10" t="s">
        <v>4</v>
      </c>
      <c r="E211" s="9"/>
      <c r="F211" s="2"/>
      <c r="G211" s="2"/>
    </row>
    <row r="212" spans="2:7" ht="17.5" x14ac:dyDescent="0.35">
      <c r="B212" s="12">
        <v>2</v>
      </c>
      <c r="C212" s="16" t="s">
        <v>274</v>
      </c>
      <c r="D212" s="10" t="s">
        <v>4</v>
      </c>
      <c r="E212" s="9"/>
      <c r="F212" s="2"/>
      <c r="G212" s="2"/>
    </row>
    <row r="213" spans="2:7" ht="17.5" x14ac:dyDescent="0.35">
      <c r="B213" s="12">
        <v>3</v>
      </c>
      <c r="C213" s="16" t="s">
        <v>275</v>
      </c>
      <c r="D213" s="10" t="s">
        <v>4</v>
      </c>
      <c r="E213" s="9"/>
      <c r="F213" s="2"/>
      <c r="G213" s="2"/>
    </row>
    <row r="214" spans="2:7" ht="43.5" x14ac:dyDescent="0.35">
      <c r="B214" s="12">
        <v>4</v>
      </c>
      <c r="C214" s="16" t="s">
        <v>276</v>
      </c>
      <c r="D214" s="10" t="s">
        <v>4</v>
      </c>
      <c r="E214" s="9" t="s">
        <v>277</v>
      </c>
      <c r="F214" s="2"/>
      <c r="G214" s="2"/>
    </row>
    <row r="215" spans="2:7" ht="17.5" x14ac:dyDescent="0.35">
      <c r="B215" s="12">
        <v>5</v>
      </c>
      <c r="C215" s="16" t="s">
        <v>278</v>
      </c>
      <c r="D215" s="10" t="s">
        <v>4</v>
      </c>
      <c r="E215" s="9"/>
      <c r="F215" s="2"/>
      <c r="G215" s="2"/>
    </row>
    <row r="216" spans="2:7" ht="29" x14ac:dyDescent="0.35">
      <c r="B216" s="12">
        <v>6</v>
      </c>
      <c r="C216" s="9" t="s">
        <v>279</v>
      </c>
      <c r="D216" s="10" t="s">
        <v>4</v>
      </c>
      <c r="E216" s="9" t="s">
        <v>280</v>
      </c>
      <c r="F216" s="9"/>
      <c r="G216" s="9"/>
    </row>
  </sheetData>
  <pageMargins left="0.7" right="0.7" top="0.75" bottom="0.75" header="0.3" footer="0.3"/>
  <pageSetup scale="41" orientation="landscape" r:id="rId1"/>
  <rowBreaks count="4" manualBreakCount="4">
    <brk id="36" max="6" man="1"/>
    <brk id="78" max="6" man="1"/>
    <brk id="125" max="6" man="1"/>
    <brk id="168"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DD930-EA2E-439A-9286-8D9E642D048F}">
  <dimension ref="A1:J25"/>
  <sheetViews>
    <sheetView topLeftCell="A17" workbookViewId="0">
      <selection activeCell="E17" sqref="E1:G1048576"/>
    </sheetView>
  </sheetViews>
  <sheetFormatPr defaultColWidth="8.81640625" defaultRowHeight="14.5" x14ac:dyDescent="0.35"/>
  <cols>
    <col min="1" max="1" width="14.7265625" customWidth="1"/>
    <col min="2" max="2" width="25.1796875" bestFit="1" customWidth="1"/>
    <col min="3" max="3" width="10.81640625" bestFit="1" customWidth="1"/>
    <col min="4" max="4" width="101.26953125" bestFit="1" customWidth="1"/>
    <col min="5" max="5" width="25.453125" bestFit="1" customWidth="1"/>
    <col min="6" max="6" width="13.81640625" customWidth="1"/>
    <col min="7" max="7" width="45.54296875" customWidth="1"/>
    <col min="8" max="8" width="105.453125" bestFit="1" customWidth="1"/>
    <col min="9" max="9" width="15.453125" customWidth="1"/>
    <col min="10" max="10" width="70.7265625" customWidth="1"/>
  </cols>
  <sheetData>
    <row r="1" spans="1:10" s="108" customFormat="1" ht="58.5" thickBot="1" x14ac:dyDescent="0.4">
      <c r="A1" s="106" t="s">
        <v>281</v>
      </c>
      <c r="B1" s="106" t="s">
        <v>282</v>
      </c>
      <c r="C1" s="106" t="s">
        <v>283</v>
      </c>
      <c r="D1" s="106" t="s">
        <v>284</v>
      </c>
      <c r="E1" s="106" t="s">
        <v>285</v>
      </c>
      <c r="F1" s="106" t="s">
        <v>286</v>
      </c>
      <c r="G1" s="106"/>
      <c r="H1" s="106" t="s">
        <v>287</v>
      </c>
      <c r="I1" s="106" t="s">
        <v>288</v>
      </c>
      <c r="J1" s="107" t="s">
        <v>289</v>
      </c>
    </row>
    <row r="2" spans="1:10" x14ac:dyDescent="0.35">
      <c r="A2" s="109" t="s">
        <v>290</v>
      </c>
      <c r="B2" s="109"/>
      <c r="C2" s="109"/>
      <c r="D2" s="109" t="s">
        <v>291</v>
      </c>
      <c r="E2" s="109"/>
      <c r="F2" s="109"/>
      <c r="G2" s="109" t="s">
        <v>368</v>
      </c>
      <c r="H2" s="109"/>
      <c r="I2" s="109" t="s">
        <v>292</v>
      </c>
      <c r="J2" s="111"/>
    </row>
    <row r="3" spans="1:10" ht="145" x14ac:dyDescent="0.35">
      <c r="A3" s="109" t="s">
        <v>293</v>
      </c>
      <c r="B3" s="109" t="s">
        <v>294</v>
      </c>
      <c r="C3" s="109" t="s">
        <v>295</v>
      </c>
      <c r="D3" s="109" t="s">
        <v>296</v>
      </c>
      <c r="E3" s="109" t="s">
        <v>297</v>
      </c>
      <c r="F3" s="109" t="s">
        <v>298</v>
      </c>
      <c r="G3" s="109" t="s">
        <v>396</v>
      </c>
      <c r="H3" s="109" t="s">
        <v>299</v>
      </c>
      <c r="I3" s="20" t="str">
        <f>IF(ISNUMBER(SEARCH("Yes",$I$2)),"Pass","")</f>
        <v/>
      </c>
      <c r="J3" s="109"/>
    </row>
    <row r="4" spans="1:10" ht="275.5" x14ac:dyDescent="0.35">
      <c r="A4" s="109" t="s">
        <v>300</v>
      </c>
      <c r="B4" s="109" t="s">
        <v>294</v>
      </c>
      <c r="C4" s="109" t="s">
        <v>301</v>
      </c>
      <c r="D4" s="109" t="s">
        <v>302</v>
      </c>
      <c r="E4" s="109" t="s">
        <v>297</v>
      </c>
      <c r="F4" s="109" t="s">
        <v>298</v>
      </c>
      <c r="G4" s="109" t="s">
        <v>397</v>
      </c>
      <c r="H4" s="109" t="s">
        <v>303</v>
      </c>
      <c r="I4" s="20" t="str">
        <f t="shared" ref="I4:I23" si="0">IF(ISNUMBER(SEARCH("Yes",$I$2)),"Pass","")</f>
        <v/>
      </c>
      <c r="J4" s="109"/>
    </row>
    <row r="5" spans="1:10" ht="362.5" x14ac:dyDescent="0.35">
      <c r="A5" s="109" t="s">
        <v>304</v>
      </c>
      <c r="B5" s="109" t="s">
        <v>305</v>
      </c>
      <c r="C5" s="109" t="s">
        <v>301</v>
      </c>
      <c r="D5" s="109" t="s">
        <v>306</v>
      </c>
      <c r="E5" s="109" t="s">
        <v>297</v>
      </c>
      <c r="F5" s="109" t="s">
        <v>298</v>
      </c>
      <c r="G5" s="109" t="s">
        <v>398</v>
      </c>
      <c r="H5" s="109" t="s">
        <v>307</v>
      </c>
      <c r="I5" s="20" t="str">
        <f t="shared" si="0"/>
        <v/>
      </c>
      <c r="J5" s="109"/>
    </row>
    <row r="6" spans="1:10" x14ac:dyDescent="0.35">
      <c r="A6" s="109" t="s">
        <v>308</v>
      </c>
      <c r="B6" s="109" t="s">
        <v>309</v>
      </c>
      <c r="C6" s="109" t="s">
        <v>310</v>
      </c>
      <c r="D6" s="109" t="s">
        <v>311</v>
      </c>
      <c r="E6" s="109" t="s">
        <v>297</v>
      </c>
      <c r="F6" s="109" t="s">
        <v>298</v>
      </c>
      <c r="G6" s="109"/>
      <c r="H6" s="109" t="s">
        <v>312</v>
      </c>
      <c r="I6" s="20" t="str">
        <f t="shared" si="0"/>
        <v/>
      </c>
    </row>
    <row r="7" spans="1:10" ht="130.5" x14ac:dyDescent="0.35">
      <c r="A7" s="109" t="s">
        <v>313</v>
      </c>
      <c r="B7" s="109" t="s">
        <v>305</v>
      </c>
      <c r="C7" s="109" t="s">
        <v>295</v>
      </c>
      <c r="D7" s="109" t="s">
        <v>314</v>
      </c>
      <c r="E7" s="109" t="s">
        <v>297</v>
      </c>
      <c r="F7" s="109" t="s">
        <v>298</v>
      </c>
      <c r="G7" s="109" t="s">
        <v>399</v>
      </c>
      <c r="H7" s="109" t="s">
        <v>315</v>
      </c>
      <c r="I7" s="20" t="str">
        <f t="shared" si="0"/>
        <v/>
      </c>
      <c r="J7" s="109"/>
    </row>
    <row r="8" spans="1:10" x14ac:dyDescent="0.35">
      <c r="A8" s="109" t="s">
        <v>316</v>
      </c>
      <c r="B8" s="109" t="s">
        <v>317</v>
      </c>
      <c r="C8" s="109" t="s">
        <v>295</v>
      </c>
      <c r="D8" s="109" t="s">
        <v>318</v>
      </c>
      <c r="E8" s="109" t="s">
        <v>297</v>
      </c>
      <c r="F8" s="109" t="s">
        <v>298</v>
      </c>
      <c r="G8" s="109"/>
      <c r="H8" s="109" t="s">
        <v>319</v>
      </c>
      <c r="I8" s="20" t="str">
        <f t="shared" si="0"/>
        <v/>
      </c>
      <c r="J8" s="109"/>
    </row>
    <row r="9" spans="1:10" ht="72.5" x14ac:dyDescent="0.35">
      <c r="A9" s="109" t="s">
        <v>316</v>
      </c>
      <c r="B9" s="109" t="s">
        <v>317</v>
      </c>
      <c r="C9" s="109" t="s">
        <v>295</v>
      </c>
      <c r="D9" s="109" t="s">
        <v>318</v>
      </c>
      <c r="E9" s="109" t="s">
        <v>297</v>
      </c>
      <c r="F9" s="109" t="s">
        <v>298</v>
      </c>
      <c r="G9" s="109" t="s">
        <v>400</v>
      </c>
      <c r="H9" s="109" t="s">
        <v>320</v>
      </c>
      <c r="I9" s="20" t="str">
        <f t="shared" si="0"/>
        <v/>
      </c>
      <c r="J9" s="109"/>
    </row>
    <row r="10" spans="1:10" ht="87" x14ac:dyDescent="0.35">
      <c r="A10" s="109" t="s">
        <v>321</v>
      </c>
      <c r="B10" s="109" t="s">
        <v>322</v>
      </c>
      <c r="C10" s="109" t="s">
        <v>301</v>
      </c>
      <c r="D10" s="109" t="s">
        <v>323</v>
      </c>
      <c r="E10" s="109" t="s">
        <v>297</v>
      </c>
      <c r="F10" s="109" t="s">
        <v>298</v>
      </c>
      <c r="G10" s="109" t="s">
        <v>401</v>
      </c>
      <c r="H10" s="109" t="s">
        <v>324</v>
      </c>
      <c r="I10" s="20" t="str">
        <f t="shared" si="0"/>
        <v/>
      </c>
      <c r="J10" s="109"/>
    </row>
    <row r="11" spans="1:10" ht="87" x14ac:dyDescent="0.35">
      <c r="A11" s="109" t="s">
        <v>321</v>
      </c>
      <c r="B11" s="109" t="s">
        <v>322</v>
      </c>
      <c r="C11" s="109" t="s">
        <v>301</v>
      </c>
      <c r="D11" s="109" t="s">
        <v>323</v>
      </c>
      <c r="E11" s="109" t="s">
        <v>297</v>
      </c>
      <c r="F11" s="109" t="s">
        <v>298</v>
      </c>
      <c r="G11" s="109" t="s">
        <v>401</v>
      </c>
      <c r="H11" s="110" t="s">
        <v>325</v>
      </c>
      <c r="I11" s="20" t="str">
        <f t="shared" si="0"/>
        <v/>
      </c>
      <c r="J11" s="109"/>
    </row>
    <row r="12" spans="1:10" ht="101.5" x14ac:dyDescent="0.35">
      <c r="A12" s="109" t="s">
        <v>326</v>
      </c>
      <c r="B12" s="109" t="s">
        <v>322</v>
      </c>
      <c r="C12" s="109" t="s">
        <v>301</v>
      </c>
      <c r="D12" s="110" t="s">
        <v>327</v>
      </c>
      <c r="E12" s="109" t="s">
        <v>297</v>
      </c>
      <c r="F12" s="109" t="s">
        <v>298</v>
      </c>
      <c r="G12" s="109" t="s">
        <v>402</v>
      </c>
      <c r="H12" s="109" t="s">
        <v>328</v>
      </c>
      <c r="I12" s="20" t="str">
        <f t="shared" si="0"/>
        <v/>
      </c>
      <c r="J12" s="109"/>
    </row>
    <row r="13" spans="1:10" ht="116" x14ac:dyDescent="0.35">
      <c r="A13" s="109" t="s">
        <v>329</v>
      </c>
      <c r="B13" s="109" t="s">
        <v>322</v>
      </c>
      <c r="C13" s="109" t="s">
        <v>301</v>
      </c>
      <c r="D13" s="109" t="s">
        <v>330</v>
      </c>
      <c r="E13" s="109" t="s">
        <v>297</v>
      </c>
      <c r="F13" s="109" t="s">
        <v>298</v>
      </c>
      <c r="G13" s="109" t="s">
        <v>403</v>
      </c>
      <c r="H13" s="109" t="s">
        <v>331</v>
      </c>
      <c r="I13" s="20" t="str">
        <f t="shared" si="0"/>
        <v/>
      </c>
      <c r="J13" s="109"/>
    </row>
    <row r="14" spans="1:10" ht="87" x14ac:dyDescent="0.35">
      <c r="A14" s="109" t="s">
        <v>332</v>
      </c>
      <c r="B14" s="109" t="s">
        <v>294</v>
      </c>
      <c r="C14" s="109" t="s">
        <v>301</v>
      </c>
      <c r="D14" s="109" t="s">
        <v>333</v>
      </c>
      <c r="E14" s="109" t="s">
        <v>297</v>
      </c>
      <c r="F14" s="109" t="s">
        <v>298</v>
      </c>
      <c r="G14" s="109" t="s">
        <v>404</v>
      </c>
      <c r="H14" s="109" t="s">
        <v>334</v>
      </c>
      <c r="I14" s="20" t="str">
        <f t="shared" si="0"/>
        <v/>
      </c>
      <c r="J14" s="109"/>
    </row>
    <row r="15" spans="1:10" ht="58" x14ac:dyDescent="0.35">
      <c r="A15" s="109" t="s">
        <v>335</v>
      </c>
      <c r="B15" s="109" t="s">
        <v>294</v>
      </c>
      <c r="C15" s="109" t="s">
        <v>301</v>
      </c>
      <c r="D15" s="109" t="s">
        <v>336</v>
      </c>
      <c r="E15" s="109" t="s">
        <v>297</v>
      </c>
      <c r="F15" s="109" t="s">
        <v>298</v>
      </c>
      <c r="G15" s="109" t="s">
        <v>405</v>
      </c>
      <c r="H15" s="109" t="s">
        <v>337</v>
      </c>
      <c r="I15" s="20" t="str">
        <f t="shared" si="0"/>
        <v/>
      </c>
    </row>
    <row r="16" spans="1:10" ht="58" x14ac:dyDescent="0.35">
      <c r="A16" s="109" t="s">
        <v>335</v>
      </c>
      <c r="B16" s="109" t="s">
        <v>294</v>
      </c>
      <c r="C16" s="109" t="s">
        <v>301</v>
      </c>
      <c r="D16" s="109" t="s">
        <v>336</v>
      </c>
      <c r="E16" s="109" t="s">
        <v>297</v>
      </c>
      <c r="F16" s="109" t="s">
        <v>298</v>
      </c>
      <c r="G16" s="109" t="s">
        <v>405</v>
      </c>
      <c r="H16" s="109" t="s">
        <v>338</v>
      </c>
      <c r="I16" s="20" t="str">
        <f t="shared" si="0"/>
        <v/>
      </c>
      <c r="J16" s="109"/>
    </row>
    <row r="17" spans="1:10" ht="174" x14ac:dyDescent="0.35">
      <c r="A17" s="109" t="s">
        <v>339</v>
      </c>
      <c r="B17" s="109" t="s">
        <v>317</v>
      </c>
      <c r="C17" s="109" t="s">
        <v>301</v>
      </c>
      <c r="D17" s="109" t="s">
        <v>340</v>
      </c>
      <c r="E17" s="109" t="s">
        <v>341</v>
      </c>
      <c r="F17" s="109" t="s">
        <v>298</v>
      </c>
      <c r="G17" s="109" t="s">
        <v>406</v>
      </c>
      <c r="H17" s="110" t="s">
        <v>342</v>
      </c>
      <c r="I17" s="20" t="str">
        <f t="shared" si="0"/>
        <v/>
      </c>
      <c r="J17" s="109"/>
    </row>
    <row r="18" spans="1:10" ht="145" x14ac:dyDescent="0.35">
      <c r="A18" s="109" t="s">
        <v>343</v>
      </c>
      <c r="B18" s="109" t="s">
        <v>309</v>
      </c>
      <c r="C18" s="109" t="s">
        <v>295</v>
      </c>
      <c r="D18" s="109" t="s">
        <v>344</v>
      </c>
      <c r="E18" s="109" t="s">
        <v>341</v>
      </c>
      <c r="F18" s="109" t="s">
        <v>298</v>
      </c>
      <c r="G18" s="109" t="s">
        <v>407</v>
      </c>
      <c r="H18" s="109" t="s">
        <v>345</v>
      </c>
      <c r="I18" s="20" t="str">
        <f t="shared" si="0"/>
        <v/>
      </c>
      <c r="J18" s="109"/>
    </row>
    <row r="19" spans="1:10" ht="87" x14ac:dyDescent="0.35">
      <c r="A19" s="109" t="s">
        <v>346</v>
      </c>
      <c r="B19" s="109" t="s">
        <v>322</v>
      </c>
      <c r="C19" s="109" t="s">
        <v>301</v>
      </c>
      <c r="D19" s="109" t="s">
        <v>347</v>
      </c>
      <c r="E19" s="109" t="s">
        <v>348</v>
      </c>
      <c r="F19" s="109" t="s">
        <v>298</v>
      </c>
      <c r="G19" s="109" t="s">
        <v>408</v>
      </c>
      <c r="H19" s="109" t="s">
        <v>349</v>
      </c>
      <c r="I19" s="20" t="str">
        <f t="shared" si="0"/>
        <v/>
      </c>
    </row>
    <row r="20" spans="1:10" ht="29" x14ac:dyDescent="0.35">
      <c r="A20" s="110" t="s">
        <v>350</v>
      </c>
      <c r="B20" s="110" t="s">
        <v>317</v>
      </c>
      <c r="C20" s="110" t="s">
        <v>295</v>
      </c>
      <c r="D20" s="110" t="s">
        <v>351</v>
      </c>
      <c r="E20" s="109" t="s">
        <v>297</v>
      </c>
      <c r="F20" s="109" t="s">
        <v>298</v>
      </c>
      <c r="G20" s="109"/>
      <c r="H20" s="110" t="s">
        <v>352</v>
      </c>
      <c r="I20" s="20" t="str">
        <f t="shared" si="0"/>
        <v/>
      </c>
      <c r="J20" s="109"/>
    </row>
    <row r="21" spans="1:10" ht="29" x14ac:dyDescent="0.35">
      <c r="A21" s="110" t="s">
        <v>350</v>
      </c>
      <c r="B21" s="110" t="s">
        <v>317</v>
      </c>
      <c r="C21" s="110" t="s">
        <v>295</v>
      </c>
      <c r="D21" s="110" t="s">
        <v>351</v>
      </c>
      <c r="E21" s="109" t="s">
        <v>297</v>
      </c>
      <c r="F21" s="109" t="s">
        <v>298</v>
      </c>
      <c r="G21" s="109"/>
      <c r="H21" s="110" t="s">
        <v>353</v>
      </c>
      <c r="I21" s="20" t="str">
        <f t="shared" si="0"/>
        <v/>
      </c>
      <c r="J21" s="109"/>
    </row>
    <row r="22" spans="1:10" ht="29" x14ac:dyDescent="0.35">
      <c r="A22" s="110" t="s">
        <v>350</v>
      </c>
      <c r="B22" s="110" t="s">
        <v>317</v>
      </c>
      <c r="C22" s="110" t="s">
        <v>295</v>
      </c>
      <c r="D22" s="110" t="s">
        <v>351</v>
      </c>
      <c r="E22" s="109" t="s">
        <v>297</v>
      </c>
      <c r="F22" s="109" t="s">
        <v>298</v>
      </c>
      <c r="G22" s="109"/>
      <c r="H22" s="110" t="s">
        <v>354</v>
      </c>
      <c r="I22" s="20" t="str">
        <f t="shared" si="0"/>
        <v/>
      </c>
      <c r="J22" s="109"/>
    </row>
    <row r="23" spans="1:10" ht="72.5" x14ac:dyDescent="0.35">
      <c r="A23" s="110" t="s">
        <v>355</v>
      </c>
      <c r="B23" s="110" t="s">
        <v>322</v>
      </c>
      <c r="C23" s="110" t="s">
        <v>301</v>
      </c>
      <c r="D23" s="110" t="s">
        <v>356</v>
      </c>
      <c r="E23" s="110" t="s">
        <v>297</v>
      </c>
      <c r="F23" s="109" t="s">
        <v>298</v>
      </c>
      <c r="G23" s="109" t="s">
        <v>409</v>
      </c>
      <c r="H23" s="110" t="s">
        <v>357</v>
      </c>
      <c r="I23" s="20" t="str">
        <f t="shared" si="0"/>
        <v/>
      </c>
      <c r="J23" s="109"/>
    </row>
    <row r="24" spans="1:10" ht="20.149999999999999" customHeight="1" x14ac:dyDescent="0.35"/>
    <row r="25" spans="1:10" ht="20.149999999999999" customHeight="1" x14ac:dyDescent="0.35"/>
  </sheetData>
  <conditionalFormatting sqref="I3:I23">
    <cfRule type="cellIs" dxfId="1" priority="1" operator="equal">
      <formula>"Fail"</formula>
    </cfRule>
    <cfRule type="cellIs" dxfId="0" priority="2" operator="equal">
      <formula>"Pass"</formula>
    </cfRule>
  </conditionalFormatting>
  <dataValidations count="1">
    <dataValidation type="list" allowBlank="1" showInputMessage="1" showErrorMessage="1" sqref="E5:E6 E8:E11 E17:E19" xr:uid="{C10005CF-5CBE-4D9F-AF4E-349297B97A28}">
      <formula1>Score</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050E2-5620-46DE-8046-214B600DE982}">
  <dimension ref="A1"/>
  <sheetViews>
    <sheetView tabSelected="1" zoomScale="85" zoomScaleNormal="85" workbookViewId="0">
      <selection activeCell="AJ42" sqref="AJ42"/>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895b4a1-30ca-49aa-a2ae-5562d88ad03d">
      <Terms xmlns="http://schemas.microsoft.com/office/infopath/2007/PartnerControls"/>
    </lcf76f155ced4ddcb4097134ff3c332f>
    <TaxCatchAll xmlns="b9f1db13-37d0-4e45-944c-b878e899200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1DC8CD1F8AE643BC35635014A1B20F" ma:contentTypeVersion="18" ma:contentTypeDescription="Create a new document." ma:contentTypeScope="" ma:versionID="5e67848fcaa7e175a8c4968c1c393777">
  <xsd:schema xmlns:xsd="http://www.w3.org/2001/XMLSchema" xmlns:xs="http://www.w3.org/2001/XMLSchema" xmlns:p="http://schemas.microsoft.com/office/2006/metadata/properties" xmlns:ns2="c895b4a1-30ca-49aa-a2ae-5562d88ad03d" xmlns:ns3="b405cc3e-1340-4f76-8048-03a717b4b05e" xmlns:ns4="b9f1db13-37d0-4e45-944c-b878e8992007" targetNamespace="http://schemas.microsoft.com/office/2006/metadata/properties" ma:root="true" ma:fieldsID="cd69dbe0bd4a62abe488a5e1a91c6c09" ns2:_="" ns3:_="" ns4:_="">
    <xsd:import namespace="c895b4a1-30ca-49aa-a2ae-5562d88ad03d"/>
    <xsd:import namespace="b405cc3e-1340-4f76-8048-03a717b4b05e"/>
    <xsd:import namespace="b9f1db13-37d0-4e45-944c-b878e899200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5b4a1-30ca-49aa-a2ae-5562d88ad0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3b784c7-ee61-4ee7-89a9-d87ec2bf095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405cc3e-1340-4f76-8048-03a717b4b0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9f1db13-37d0-4e45-944c-b878e8992007"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325215d-5bb8-439a-9632-3706f8dbd547}" ma:internalName="TaxCatchAll" ma:showField="CatchAllData" ma:web="b405cc3e-1340-4f76-8048-03a717b4b0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106A41-F9BB-4D9C-AC14-2355B6D792FA}">
  <ds:schemaRefs>
    <ds:schemaRef ds:uri="http://schemas.microsoft.com/sharepoint/v3/contenttype/forms"/>
  </ds:schemaRefs>
</ds:datastoreItem>
</file>

<file path=customXml/itemProps2.xml><?xml version="1.0" encoding="utf-8"?>
<ds:datastoreItem xmlns:ds="http://schemas.openxmlformats.org/officeDocument/2006/customXml" ds:itemID="{AE998C80-35DD-43A5-A34D-83644FAF85E4}">
  <ds:schemaRefs>
    <ds:schemaRef ds:uri="http://purl.org/dc/elements/1.1/"/>
    <ds:schemaRef ds:uri="b405cc3e-1340-4f76-8048-03a717b4b05e"/>
    <ds:schemaRef ds:uri="c895b4a1-30ca-49aa-a2ae-5562d88ad03d"/>
    <ds:schemaRef ds:uri="http://www.w3.org/XML/1998/namespace"/>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b9f1db13-37d0-4e45-944c-b878e8992007"/>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590E54BF-A1C1-42D6-A254-24C4A774BB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95b4a1-30ca-49aa-a2ae-5562d88ad03d"/>
    <ds:schemaRef ds:uri="b405cc3e-1340-4f76-8048-03a717b4b05e"/>
    <ds:schemaRef ds:uri="b9f1db13-37d0-4e45-944c-b878e89920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4db608-ddec-4a44-8ad7-7d5a79b7448e}" enabled="1" method="Standard" siteId="{fd799da1-bfc1-4234-a91c-72b3a1cb9e2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Sensor</vt:lpstr>
      <vt:lpstr>orig tmplt</vt:lpstr>
      <vt:lpstr>Data Security</vt:lpstr>
      <vt:lpstr>Arch Diagram</vt:lpstr>
      <vt:lpstr>'orig tmplt'!_Toc330217645</vt:lpstr>
      <vt:lpstr>Sensor!_Toc330217645</vt:lpstr>
      <vt:lpstr>'orig tmplt'!_Toc397530913</vt:lpstr>
      <vt:lpstr>Sensor!_Toc397530913</vt:lpstr>
      <vt:lpstr>'orig tmplt'!Print_Area</vt:lpstr>
      <vt:lpstr>Sensor!Print_Area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2020-04-17T17:48:43Z</dcterms:created>
  <dcterms:modified xsi:type="dcterms:W3CDTF">2026-03-04T12:19:04Z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0x0101004C1DC8CD1F8AE643BC35635014A1B20F</vt:lpwstr>
  </property>
  <property fmtid="{D5CDD505-2E9C-101B-9397-08002B2CF9AE}" pid="3" name="MSIP_Label_6e4db608-ddec-4a44-8ad7-7d5a79b7448e_Enabled">
    <vt:lpwstr>true</vt:lpwstr>
  </property>
  <property fmtid="{D5CDD505-2E9C-101B-9397-08002B2CF9AE}" pid="4" name="MSIP_Label_6e4db608-ddec-4a44-8ad7-7d5a79b7448e_SetDate">
    <vt:lpwstr>2021-05-10T20:12:07Z</vt:lpwstr>
  </property>
  <property fmtid="{D5CDD505-2E9C-101B-9397-08002B2CF9AE}" pid="5" name="MSIP_Label_6e4db608-ddec-4a44-8ad7-7d5a79b7448e_Method">
    <vt:lpwstr>Standard</vt:lpwstr>
  </property>
  <property fmtid="{D5CDD505-2E9C-101B-9397-08002B2CF9AE}" pid="6" name="MSIP_Label_6e4db608-ddec-4a44-8ad7-7d5a79b7448e_Name">
    <vt:lpwstr>Internal</vt:lpwstr>
  </property>
  <property fmtid="{D5CDD505-2E9C-101B-9397-08002B2CF9AE}" pid="7" name="MSIP_Label_6e4db608-ddec-4a44-8ad7-7d5a79b7448e_SiteId">
    <vt:lpwstr>fd799da1-bfc1-4234-a91c-72b3a1cb9e26</vt:lpwstr>
  </property>
  <property fmtid="{D5CDD505-2E9C-101B-9397-08002B2CF9AE}" pid="8" name="MSIP_Label_6e4db608-ddec-4a44-8ad7-7d5a79b7448e_ActionId">
    <vt:lpwstr>a09e5206-c662-4f6a-929c-0acd2bbbaafb</vt:lpwstr>
  </property>
  <property fmtid="{D5CDD505-2E9C-101B-9397-08002B2CF9AE}" pid="9" name="MSIP_Label_6e4db608-ddec-4a44-8ad7-7d5a79b7448e_ContentBits">
    <vt:lpwstr>0</vt:lpwstr>
  </property>
  <property fmtid="{D5CDD505-2E9C-101B-9397-08002B2CF9AE}" pid="10" name="MediaServiceImageTags">
    <vt:lpwstr/>
  </property>
</Properties>
</file>